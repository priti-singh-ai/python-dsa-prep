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riti.kumari\Downloads\"/>
    </mc:Choice>
  </mc:AlternateContent>
  <xr:revisionPtr revIDLastSave="0" documentId="13_ncr:1_{F91DBCD4-CFF1-49EC-982B-D3E1B4F92A40}" xr6:coauthVersionLast="47" xr6:coauthVersionMax="47" xr10:uidLastSave="{00000000-0000-0000-0000-000000000000}"/>
  <bookViews>
    <workbookView xWindow="-110" yWindow="-110" windowWidth="19420" windowHeight="10300" tabRatio="500" xr2:uid="{00000000-000D-0000-FFFF-FFFF00000000}"/>
  </bookViews>
  <sheets>
    <sheet name="Tracker" sheetId="1" r:id="rId1"/>
    <sheet name="Dashboard" sheetId="2" r:id="rId2"/>
    <sheet name="Method &amp; Timeline" sheetId="3" r:id="rId3"/>
  </sheets>
  <definedNames>
    <definedName name="_xlnm._FilterDatabase" localSheetId="0" hidden="1">Tracker!$A$3:$Q$153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9" i="3" l="1"/>
  <c r="C48" i="3"/>
  <c r="D48" i="3" s="1"/>
  <c r="C47" i="3"/>
  <c r="D47" i="3" s="1"/>
  <c r="C46" i="3"/>
  <c r="D46" i="3" s="1"/>
  <c r="C45" i="3"/>
  <c r="D45" i="3" s="1"/>
  <c r="C44" i="3"/>
  <c r="D44" i="3" s="1"/>
  <c r="C43" i="3"/>
  <c r="D43" i="3" s="1"/>
  <c r="C42" i="3"/>
  <c r="D42" i="3" s="1"/>
  <c r="C41" i="3"/>
  <c r="D41" i="3" s="1"/>
  <c r="C40" i="3"/>
  <c r="D40" i="3" s="1"/>
  <c r="C39" i="3"/>
  <c r="D39" i="3" s="1"/>
  <c r="C38" i="3"/>
  <c r="D38" i="3" s="1"/>
  <c r="C37" i="3"/>
  <c r="D37" i="3" s="1"/>
  <c r="C36" i="3"/>
  <c r="D36" i="3" s="1"/>
  <c r="C35" i="3"/>
  <c r="D35" i="3" s="1"/>
  <c r="C34" i="3"/>
  <c r="D34" i="3" s="1"/>
  <c r="C33" i="3"/>
  <c r="D33" i="3" s="1"/>
  <c r="C32" i="3"/>
  <c r="D32" i="3" s="1"/>
  <c r="E31" i="3"/>
  <c r="C31" i="3"/>
  <c r="D31" i="3" s="1"/>
  <c r="F22" i="2"/>
  <c r="E22" i="2"/>
  <c r="C22" i="2"/>
  <c r="D22" i="2" s="1"/>
  <c r="B22" i="2"/>
  <c r="F21" i="2"/>
  <c r="E21" i="2"/>
  <c r="C21" i="2"/>
  <c r="D21" i="2" s="1"/>
  <c r="B21" i="2"/>
  <c r="F20" i="2"/>
  <c r="E20" i="2"/>
  <c r="C20" i="2"/>
  <c r="B20" i="2"/>
  <c r="F19" i="2"/>
  <c r="E19" i="2"/>
  <c r="C19" i="2"/>
  <c r="D19" i="2" s="1"/>
  <c r="B19" i="2"/>
  <c r="F18" i="2"/>
  <c r="E18" i="2"/>
  <c r="C18" i="2"/>
  <c r="D18" i="2" s="1"/>
  <c r="B18" i="2"/>
  <c r="F17" i="2"/>
  <c r="E17" i="2"/>
  <c r="C17" i="2"/>
  <c r="B17" i="2"/>
  <c r="F16" i="2"/>
  <c r="E16" i="2"/>
  <c r="C16" i="2"/>
  <c r="D16" i="2" s="1"/>
  <c r="B16" i="2"/>
  <c r="F15" i="2"/>
  <c r="E15" i="2"/>
  <c r="C15" i="2"/>
  <c r="D15" i="2" s="1"/>
  <c r="B15" i="2"/>
  <c r="F14" i="2"/>
  <c r="E14" i="2"/>
  <c r="C14" i="2"/>
  <c r="D14" i="2" s="1"/>
  <c r="B14" i="2"/>
  <c r="F13" i="2"/>
  <c r="E13" i="2"/>
  <c r="C13" i="2"/>
  <c r="B13" i="2"/>
  <c r="F12" i="2"/>
  <c r="E12" i="2"/>
  <c r="C12" i="2"/>
  <c r="B12" i="2"/>
  <c r="F11" i="2"/>
  <c r="E11" i="2"/>
  <c r="C11" i="2"/>
  <c r="B11" i="2"/>
  <c r="D11" i="2" s="1"/>
  <c r="F10" i="2"/>
  <c r="E10" i="2"/>
  <c r="B10" i="2"/>
  <c r="D10" i="2" s="1"/>
  <c r="F9" i="2"/>
  <c r="E9" i="2"/>
  <c r="D9" i="2"/>
  <c r="B9" i="2"/>
  <c r="F8" i="2"/>
  <c r="E8" i="2"/>
  <c r="C8" i="2"/>
  <c r="B8" i="2"/>
  <c r="F7" i="2"/>
  <c r="E7" i="2"/>
  <c r="C7" i="2"/>
  <c r="B7" i="2"/>
  <c r="F6" i="2"/>
  <c r="E6" i="2"/>
  <c r="C6" i="2"/>
  <c r="D6" i="2" s="1"/>
  <c r="B6" i="2"/>
  <c r="F5" i="2"/>
  <c r="E5" i="2"/>
  <c r="C23" i="2"/>
  <c r="B5" i="2"/>
  <c r="B23" i="2" s="1"/>
  <c r="D7" i="2" l="1"/>
  <c r="D8" i="2"/>
  <c r="D20" i="2"/>
  <c r="D12" i="2"/>
  <c r="D17" i="2"/>
  <c r="D13" i="2"/>
  <c r="F23" i="2"/>
  <c r="E23" i="2"/>
  <c r="F31" i="3"/>
  <c r="E32" i="3" s="1"/>
  <c r="F32" i="3" s="1"/>
  <c r="E33" i="3" s="1"/>
  <c r="F33" i="3" s="1"/>
  <c r="E34" i="3" s="1"/>
  <c r="F34" i="3" s="1"/>
  <c r="E35" i="3" s="1"/>
  <c r="F35" i="3" s="1"/>
  <c r="E36" i="3" s="1"/>
  <c r="F36" i="3" s="1"/>
  <c r="E37" i="3" s="1"/>
  <c r="F37" i="3" s="1"/>
  <c r="E38" i="3" s="1"/>
  <c r="F38" i="3" s="1"/>
  <c r="E39" i="3" s="1"/>
  <c r="F39" i="3" s="1"/>
  <c r="E40" i="3" s="1"/>
  <c r="F40" i="3" s="1"/>
  <c r="E41" i="3" s="1"/>
  <c r="F41" i="3" s="1"/>
  <c r="E42" i="3" s="1"/>
  <c r="F42" i="3" s="1"/>
  <c r="E43" i="3" s="1"/>
  <c r="F43" i="3" s="1"/>
  <c r="E44" i="3" s="1"/>
  <c r="F44" i="3" s="1"/>
  <c r="E45" i="3" s="1"/>
  <c r="F45" i="3" s="1"/>
  <c r="E46" i="3" s="1"/>
  <c r="F46" i="3" s="1"/>
  <c r="E47" i="3" s="1"/>
  <c r="F47" i="3" s="1"/>
  <c r="E48" i="3" s="1"/>
  <c r="F48" i="3" s="1"/>
  <c r="F49" i="3" s="1"/>
  <c r="E54" i="3" s="1"/>
  <c r="F54" i="3" s="1"/>
  <c r="E55" i="3" s="1"/>
  <c r="F55" i="3" s="1"/>
  <c r="D49" i="3"/>
  <c r="D23" i="2"/>
  <c r="C49" i="3"/>
  <c r="D5" i="2"/>
  <c r="B60" i="3" l="1"/>
  <c r="F5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K4" authorId="0" shapeId="0" xr:uid="{00000000-0006-0000-0000-000001000000}">
      <text>
        <r>
          <rPr>
            <sz val="10"/>
            <rFont val="Arial"/>
            <family val="2"/>
          </rPr>
          <t>This whole row is a filled-in EXAMPLE showing the expected format. Delete these example values and enter your own as you solve.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8" authorId="0" shapeId="0" xr:uid="{00000000-0006-0000-0200-000001000000}">
      <text>
        <r>
          <rPr>
            <sz val="10"/>
            <rFont val="Arial"/>
            <family val="2"/>
          </rPr>
          <t>Edit this cell to your actual start date — every date below recalculates automatically.</t>
        </r>
      </text>
    </comment>
  </commentList>
</comments>
</file>

<file path=xl/sharedStrings.xml><?xml version="1.0" encoding="utf-8"?>
<sst xmlns="http://schemas.openxmlformats.org/spreadsheetml/2006/main" count="879" uniqueCount="241">
  <si>
    <t>NeetCode 150 — Personal Progress Tracker</t>
  </si>
  <si>
    <t>Fill in columns G through Q as you solve each problem. Row 4 is a filled-in EXAMPLE — overwrite it with your own data. See the 'Method &amp; Timeline' tab for NeetCode's study method and a legend.</t>
  </si>
  <si>
    <t>#</t>
  </si>
  <si>
    <t>Topic</t>
  </si>
  <si>
    <t>Problem</t>
  </si>
  <si>
    <t>Difficulty</t>
  </si>
  <si>
    <t>LeetCode Link</t>
  </si>
  <si>
    <t>NeetCode Video</t>
  </si>
  <si>
    <t>Date Attempted</t>
  </si>
  <si>
    <t>Time Taken (min)</t>
  </si>
  <si>
    <t>Solved Independently? (Y/N)</t>
  </si>
  <si>
    <t>Watched Video? (Y/N)</t>
  </si>
  <si>
    <t>Pattern / Approach</t>
  </si>
  <si>
    <t>My Notes</t>
  </si>
  <si>
    <t>Needs Revisit? (Y/N)</t>
  </si>
  <si>
    <t>Revisit Date</t>
  </si>
  <si>
    <t>Revisit — Solved From Scratch? (Y/N)</t>
  </si>
  <si>
    <t>Confidence (1-5)</t>
  </si>
  <si>
    <t>Status</t>
  </si>
  <si>
    <t>Arrays &amp; Hashing</t>
  </si>
  <si>
    <t>Contains Duplicate</t>
  </si>
  <si>
    <t>Easy</t>
  </si>
  <si>
    <t>Open</t>
  </si>
  <si>
    <t>Watch</t>
  </si>
  <si>
    <t>2026-08-10</t>
  </si>
  <si>
    <t>Y</t>
  </si>
  <si>
    <t>N</t>
  </si>
  <si>
    <t>Hash Set — track seen numbers, O(n) time / O(n) space</t>
  </si>
  <si>
    <t>Solved Independently</t>
  </si>
  <si>
    <t>Valid Anagram</t>
  </si>
  <si>
    <t>Two Sum</t>
  </si>
  <si>
    <t>Group Anagrams</t>
  </si>
  <si>
    <t>Medium</t>
  </si>
  <si>
    <t>Top K Frequent Elements</t>
  </si>
  <si>
    <t>Encode and Decode Strings</t>
  </si>
  <si>
    <t>Product of Array Except Self</t>
  </si>
  <si>
    <t>Valid Sudoku</t>
  </si>
  <si>
    <t>Longest Consecutive Sequence</t>
  </si>
  <si>
    <t>Two Pointers</t>
  </si>
  <si>
    <t>Valid Palindrome</t>
  </si>
  <si>
    <t>Two Sum II Input Array Is Sorted</t>
  </si>
  <si>
    <t>3Sum</t>
  </si>
  <si>
    <t>Container With Most Water</t>
  </si>
  <si>
    <t>Trapping Rain Water</t>
  </si>
  <si>
    <t>Hard</t>
  </si>
  <si>
    <t>Sliding Window</t>
  </si>
  <si>
    <t>Best Time to Buy And Sell Stock</t>
  </si>
  <si>
    <t>Longest Substring Without Repeating Characters</t>
  </si>
  <si>
    <t>Longest Repeating Character Replacement</t>
  </si>
  <si>
    <t>Permutation In String</t>
  </si>
  <si>
    <t>Minimum Window Substring</t>
  </si>
  <si>
    <t>Sliding Window Maximum</t>
  </si>
  <si>
    <t>Stack</t>
  </si>
  <si>
    <t>Valid Parentheses</t>
  </si>
  <si>
    <t>Min Stack</t>
  </si>
  <si>
    <t>Evaluate Reverse Polish Notation</t>
  </si>
  <si>
    <t>Daily Temperatures</t>
  </si>
  <si>
    <t>Car Fleet</t>
  </si>
  <si>
    <t>Largest Rectangle In Histogram</t>
  </si>
  <si>
    <t>Binary Search</t>
  </si>
  <si>
    <t>Search a 2D Matrix</t>
  </si>
  <si>
    <t>Koko Eating Bananas</t>
  </si>
  <si>
    <t>Find Minimum In Rotated Sorted Array</t>
  </si>
  <si>
    <t>Search In Rotated Sorted Array</t>
  </si>
  <si>
    <t>Time Based Key Value Store</t>
  </si>
  <si>
    <t>Median of Two Sorted Arrays</t>
  </si>
  <si>
    <t>Linked List</t>
  </si>
  <si>
    <t>Reverse Linked List</t>
  </si>
  <si>
    <t>Merge Two Sorted Lists</t>
  </si>
  <si>
    <t>Linked List Cycle</t>
  </si>
  <si>
    <t>Reorder List</t>
  </si>
  <si>
    <t>Remove Nth Node From End of List</t>
  </si>
  <si>
    <t>Copy List With Random Pointer</t>
  </si>
  <si>
    <t>Add Two Numbers</t>
  </si>
  <si>
    <t>Find The Duplicate Number</t>
  </si>
  <si>
    <t>LRU Cache</t>
  </si>
  <si>
    <t>Merge K Sorted Lists</t>
  </si>
  <si>
    <t>Reverse Nodes In K Group</t>
  </si>
  <si>
    <t>Trees</t>
  </si>
  <si>
    <t>Invert Binary Tree</t>
  </si>
  <si>
    <t>Maximum Depth of Binary Tree</t>
  </si>
  <si>
    <t>Diameter of Binary Tree</t>
  </si>
  <si>
    <t>Balanced Binary Tree</t>
  </si>
  <si>
    <t>Same Tree</t>
  </si>
  <si>
    <t>Subtree of Another Tree</t>
  </si>
  <si>
    <t>Lowest Common Ancestor of a Binary Search Tree</t>
  </si>
  <si>
    <t>Binary Tree Level Order Traversal</t>
  </si>
  <si>
    <t>Binary Tree Right Side View</t>
  </si>
  <si>
    <t>Count Good Nodes In Binary Tree</t>
  </si>
  <si>
    <t>Validate Binary Search Tree</t>
  </si>
  <si>
    <t>Kth Smallest Element In a Bst</t>
  </si>
  <si>
    <t>Construct Binary Tree From Preorder And Inorder Traversal</t>
  </si>
  <si>
    <t>Binary Tree Maximum Path Sum</t>
  </si>
  <si>
    <t>Serialize And Deserialize Binary Tree</t>
  </si>
  <si>
    <t>Heap / Priority Queue</t>
  </si>
  <si>
    <t>Kth Largest Element In a Stream</t>
  </si>
  <si>
    <t>Last Stone Weight</t>
  </si>
  <si>
    <t>K Closest Points to Origin</t>
  </si>
  <si>
    <t>Kth Largest Element In An Array</t>
  </si>
  <si>
    <t>Task Scheduler</t>
  </si>
  <si>
    <t>Design Twitter</t>
  </si>
  <si>
    <t>Find Median From Data Stream</t>
  </si>
  <si>
    <t>Backtracking</t>
  </si>
  <si>
    <t>Subsets</t>
  </si>
  <si>
    <t>Combination Sum</t>
  </si>
  <si>
    <t>Combination Sum II</t>
  </si>
  <si>
    <t>Permutations</t>
  </si>
  <si>
    <t>Subsets II</t>
  </si>
  <si>
    <t>Generate Parentheses</t>
  </si>
  <si>
    <t>Word Search</t>
  </si>
  <si>
    <t>Palindrome Partitioning</t>
  </si>
  <si>
    <t>Letter Combinations of a Phone Number</t>
  </si>
  <si>
    <t>N Queens</t>
  </si>
  <si>
    <t>Tries</t>
  </si>
  <si>
    <t>Implement Trie Prefix Tree</t>
  </si>
  <si>
    <t>Design Add And Search Words Data Structure</t>
  </si>
  <si>
    <t>Word Search II</t>
  </si>
  <si>
    <t>Graphs</t>
  </si>
  <si>
    <t>Number of Islands</t>
  </si>
  <si>
    <t>Max Area of Island</t>
  </si>
  <si>
    <t>Clone Graph</t>
  </si>
  <si>
    <t>Walls And Gates</t>
  </si>
  <si>
    <t>Rotting Oranges</t>
  </si>
  <si>
    <t>Pacific Atlantic Water Flow</t>
  </si>
  <si>
    <t>Surrounded Regions</t>
  </si>
  <si>
    <t>Course Schedule</t>
  </si>
  <si>
    <t>Course Schedule II</t>
  </si>
  <si>
    <t>Graph Valid Tree</t>
  </si>
  <si>
    <t>Number of Connected Components In An Undirected Graph</t>
  </si>
  <si>
    <t>Redundant Connection</t>
  </si>
  <si>
    <t>Word Ladder</t>
  </si>
  <si>
    <t>Advanced Graphs</t>
  </si>
  <si>
    <t>Network Delay Time</t>
  </si>
  <si>
    <t>Reconstruct Itinerary</t>
  </si>
  <si>
    <t>Min Cost to Connect All Points</t>
  </si>
  <si>
    <t>Swim In Rising Water</t>
  </si>
  <si>
    <t>Alien Dictionary</t>
  </si>
  <si>
    <t>Cheapest Flights Within K Stops</t>
  </si>
  <si>
    <t>1-D Dynamic Programming</t>
  </si>
  <si>
    <t>Climbing Stairs</t>
  </si>
  <si>
    <t>Min Cost Climbing Stairs</t>
  </si>
  <si>
    <t>House Robber</t>
  </si>
  <si>
    <t>House Robber II</t>
  </si>
  <si>
    <t>Longest Palindromic Substring</t>
  </si>
  <si>
    <t>Palindromic Substrings</t>
  </si>
  <si>
    <t>Decode Ways</t>
  </si>
  <si>
    <t>Coin Change</t>
  </si>
  <si>
    <t>Maximum Product Subarray</t>
  </si>
  <si>
    <t>Word Break</t>
  </si>
  <si>
    <t>Longest Increasing Subsequence</t>
  </si>
  <si>
    <t>Partition Equal Subset Sum</t>
  </si>
  <si>
    <t>2-D Dynamic Programming</t>
  </si>
  <si>
    <t>Unique Paths</t>
  </si>
  <si>
    <t>Longest Common Subsequence</t>
  </si>
  <si>
    <t>Best Time to Buy And Sell Stock With Cooldown</t>
  </si>
  <si>
    <t>Coin Change II</t>
  </si>
  <si>
    <t>Target Sum</t>
  </si>
  <si>
    <t>Interleaving String</t>
  </si>
  <si>
    <t>Longest Increasing Path In a Matrix</t>
  </si>
  <si>
    <t>Distinct Subsequences</t>
  </si>
  <si>
    <t>Edit Distance</t>
  </si>
  <si>
    <t>Burst Balloons</t>
  </si>
  <si>
    <t>Regular Expression Matching</t>
  </si>
  <si>
    <t>Greedy</t>
  </si>
  <si>
    <t>Maximum Subarray</t>
  </si>
  <si>
    <t>Jump Game</t>
  </si>
  <si>
    <t>Jump Game II</t>
  </si>
  <si>
    <t>Gas Station</t>
  </si>
  <si>
    <t>Hand of Straights</t>
  </si>
  <si>
    <t>Merge Triplets to Form Target Triplet</t>
  </si>
  <si>
    <t>Partition Labels</t>
  </si>
  <si>
    <t>Valid Parenthesis String</t>
  </si>
  <si>
    <t>Intervals</t>
  </si>
  <si>
    <t>Insert Interval</t>
  </si>
  <si>
    <t>Merge Intervals</t>
  </si>
  <si>
    <t>Non Overlapping Intervals</t>
  </si>
  <si>
    <t>Meeting Rooms</t>
  </si>
  <si>
    <t>Meeting Rooms II</t>
  </si>
  <si>
    <t>Minimum Interval to Include Each Query</t>
  </si>
  <si>
    <t>Math &amp; Geometry</t>
  </si>
  <si>
    <t>Rotate Image</t>
  </si>
  <si>
    <t>Spiral Matrix</t>
  </si>
  <si>
    <t>Set Matrix Zeroes</t>
  </si>
  <si>
    <t>Happy Number</t>
  </si>
  <si>
    <t>Plus One</t>
  </si>
  <si>
    <t>Pow(x, n)</t>
  </si>
  <si>
    <t>Multiply Strings</t>
  </si>
  <si>
    <t>Detect Squares</t>
  </si>
  <si>
    <t>Bit Manipulation</t>
  </si>
  <si>
    <t>Single Number</t>
  </si>
  <si>
    <t>Number of 1 Bits</t>
  </si>
  <si>
    <t>Counting Bits</t>
  </si>
  <si>
    <t>Reverse Bits</t>
  </si>
  <si>
    <t>Missing Number</t>
  </si>
  <si>
    <t>Sum of Two Integers</t>
  </si>
  <si>
    <t>Reverse Integer</t>
  </si>
  <si>
    <t>NeetCode 150 — Progress Dashboard</t>
  </si>
  <si>
    <t>All numbers below are live formulas pulling from the Tracker tab — update Tracker and this page updates itself.</t>
  </si>
  <si>
    <t>Total Problems</t>
  </si>
  <si>
    <t>Solved (Independent/Mastered)</t>
  </si>
  <si>
    <t>% Complete</t>
  </si>
  <si>
    <t>Needs Revisit</t>
  </si>
  <si>
    <t>Avg Confidence</t>
  </si>
  <si>
    <t>TOTAL</t>
  </si>
  <si>
    <t>NeetCode's Method + Your Realistic Timeline</t>
  </si>
  <si>
    <t>1. NeetCode's Own Method (from his official prep guide, matching the video's philosophy)</t>
  </si>
  <si>
    <t>1. Just start. Don't overthink the plan — open the list in topic order and solve problem #1. The problems are sequenced so each one builds on the last; solving in order matters more than picking and choosing.</t>
  </si>
  <si>
    <t>2. Always attempt a problem yourself first. Try drawing it out on paper before writing any code.</t>
  </si>
  <si>
    <t>3. Don't sit stuck for hours. If you're not making progress after roughly 15-20 minutes, look at the solution — that's normal, not cheating.</t>
  </si>
  <si>
    <t>4. Never copy-paste a solution without understanding it, and never blindly memorize an algorithm. The goal is understanding why it works, not reproducing it from memory.</t>
  </si>
  <si>
    <t>5. If even the solution takes you 45-60 minutes to understand, that's a signal to step back and try an easier problem first before returning to this one.</t>
  </si>
  <si>
    <t>6. Revisit problems that gave you trouble — resolve them completely from scratch later, without looking. This is what actually builds pattern recognition, not just recognition of a solution you've already seen.</t>
  </si>
  <si>
    <t>7. Interview-readiness benchmark: you're in good shape once you can solve most medium problems you haven't seen before in about 20-25 minutes.</t>
  </si>
  <si>
    <t>8. If time is tight, prioritize Arrays, Hash Maps, Trees, and Graphs first — these are the highest-leverage, most frequently recurring topics in real interviews.</t>
  </si>
  <si>
    <t>9. Difficulty labels aren't always accurate — some 'Medium' problems are harder than some 'Hard' ones. Don't fixate on the label; focus on learning the underlying algorithm.</t>
  </si>
  <si>
    <t>2. My Input — How to Use This Sheet to Actually Follow That Method</t>
  </si>
  <si>
    <t>•  The tracker isn't just a checklist — the columns exist specifically to enforce NeetCode's method. 'Solved Independently?' and 'Watched Video?' together tell you honestly whether you actually solved it or recognized a solution you'd seen — be strict with yourself here, this is the single most gamed column on any tracker.</t>
  </si>
  <si>
    <t>•  Use 'Needs Revisit?' liberally in your first pass — mark Y for anything you needed the video for, anything that took over 20 minutes, or anything that felt shaky even after solving it. Don't be optimistic here; a false 'N' is the thing that quietly kills retention.</t>
  </si>
  <si>
    <t>•  The 'Confidence (1-5)' score is for YOU three weeks from now, not for today. A '5' should mean 'I could solve a variant of this cold, in an interview, under a stranger's eyes' — not 'I understood the solution when I read it.'</t>
  </si>
  <si>
    <t>•  Given you're coming from 10 years of DS/ML engineering, not fresh out of a CS degree — your comparative advantage is in the array/DP/graph problems that map to real engineering intuition, and your gap is likely to be in the more 'puzzle-shaped' topics (Backtracking, Bit Manipulation, some Greedy problems) that don't show up in day-to-day ML engineering work. Expect those sections to take longer per problem than the Arrays/Trees/Graphs sections — budget for that instead of being surprised by it.</t>
  </si>
  <si>
    <t>•  Two problems a day is a genuinely sustainable pace for someone working full-time — but only if you also protect a short daily slot for revisits (see Phase 2 below). Two NEW problems with zero revisiting is the single most common way people finish all 150 and then fail their first real interview anyway, because they solved each problem once and never again.</t>
  </si>
  <si>
    <t>•  The list is already sequenced so Dynamic Programming comes after Graphs — resist the urge to jump ahead to DP out of curiosity. The pattern only really clicks once recursion and backtracking are already comfortable.</t>
  </si>
  <si>
    <t>3. Realistic Timeline at 2 New Problems / Day</t>
  </si>
  <si>
    <t>Set your real start date below (blue cell) — every date in the table recalculates automatically. Phase 1 durations are computed directly from the problem counts on the Tracker tab.</t>
  </si>
  <si>
    <t>Your Start Date:</t>
  </si>
  <si>
    <t># Problems</t>
  </si>
  <si>
    <t>Days Needed (@2/day)</t>
  </si>
  <si>
    <t>Start Date</t>
  </si>
  <si>
    <t>End Date</t>
  </si>
  <si>
    <t>Phase 1 Total (first full pass, all 150 problems)</t>
  </si>
  <si>
    <t>Phase 2 &amp; 3 durations below are my estimate, not derived from the Tracker — based on typical revisit-volume reports from people who've completed NeetCode 150 (roughly 35-45% of problems get flagged 'needs revisit' on a first pass).</t>
  </si>
  <si>
    <t>Phase</t>
  </si>
  <si>
    <t>What You're Doing</t>
  </si>
  <si>
    <t>Estimated Duration (days)</t>
  </si>
  <si>
    <t>Phase 2 — Spaced Repetition Pass</t>
  </si>
  <si>
    <t>Re-solve every problem flagged 'Needs Revisit' from scratch, no notes. ~20-30 min/day alongside new Phase-1 problems, running in parallel from week 2 onward — this row shows the tail end after Phase 1 finishes.</t>
  </si>
  <si>
    <t>Phase 3 — Speed Drilling</t>
  </si>
  <si>
    <t>Re-solve a mixed sample of mediums (prioritize DP, Graphs, Backtracking) cold and timed, until you consistently hit NeetCode's 20-25 min readiness bar.</t>
  </si>
  <si>
    <t>Estimated Total Time to NeetCode-Level Mastery:</t>
  </si>
  <si>
    <t>Target "NeetCode-level" finish date:</t>
  </si>
  <si>
    <t>used set datatype of python remembered set lookup is O(1). Easy warm-up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</si>
</sst>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yyyy\-mm\-dd&quot; (&quot;dddd\)"/>
  </numFmts>
  <fonts count="12" x14ac:knownFonts="1">
    <font>
      <sz val="11"/>
      <color theme="1"/>
      <name val="Calibri"/>
      <family val="2"/>
      <charset val="1"/>
    </font>
    <font>
      <b/>
      <sz val="16"/>
      <color rgb="FFFFFFFF"/>
      <name val="Arial"/>
      <charset val="1"/>
    </font>
    <font>
      <i/>
      <sz val="9"/>
      <color rgb="FF0F3460"/>
      <name val="Arial"/>
      <charset val="1"/>
    </font>
    <font>
      <b/>
      <sz val="10"/>
      <color rgb="FFFFFFFF"/>
      <name val="Arial"/>
      <charset val="1"/>
    </font>
    <font>
      <sz val="10"/>
      <name val="Arial"/>
      <charset val="1"/>
    </font>
    <font>
      <sz val="10"/>
      <color rgb="FF0000FF"/>
      <name val="Arial"/>
      <charset val="1"/>
    </font>
    <font>
      <sz val="10"/>
      <name val="Arial"/>
      <family val="2"/>
    </font>
    <font>
      <b/>
      <sz val="11"/>
      <name val="Arial"/>
      <charset val="1"/>
    </font>
    <font>
      <b/>
      <sz val="13"/>
      <color rgb="FF0F3460"/>
      <name val="Arial"/>
      <charset val="1"/>
    </font>
    <font>
      <i/>
      <sz val="9"/>
      <name val="Arial"/>
      <charset val="1"/>
    </font>
    <font>
      <b/>
      <sz val="11"/>
      <color rgb="FF0F3460"/>
      <name val="Arial"/>
      <charset val="1"/>
    </font>
    <font>
      <b/>
      <sz val="12"/>
      <color rgb="FF0F3460"/>
      <name val="Arial"/>
      <charset val="1"/>
    </font>
  </fonts>
  <fills count="11">
    <fill>
      <patternFill patternType="none"/>
    </fill>
    <fill>
      <patternFill patternType="gray125"/>
    </fill>
    <fill>
      <patternFill patternType="solid">
        <fgColor rgb="FF0F3460"/>
        <bgColor rgb="FF16213E"/>
      </patternFill>
    </fill>
    <fill>
      <patternFill patternType="solid">
        <fgColor rgb="FFD9E2F3"/>
        <bgColor rgb="FFCCE5FF"/>
      </patternFill>
    </fill>
    <fill>
      <patternFill patternType="solid">
        <fgColor rgb="FF16213E"/>
        <bgColor rgb="FF0F3460"/>
      </patternFill>
    </fill>
    <fill>
      <patternFill patternType="solid">
        <fgColor rgb="FFD9F2D9"/>
        <bgColor rgb="FFD9EAD3"/>
      </patternFill>
    </fill>
    <fill>
      <patternFill patternType="solid">
        <fgColor rgb="FFD9EAD3"/>
        <bgColor rgb="FFD9F2D9"/>
      </patternFill>
    </fill>
    <fill>
      <patternFill patternType="solid">
        <fgColor rgb="FFFFFFCC"/>
        <bgColor rgb="FFFFF2CC"/>
      </patternFill>
    </fill>
    <fill>
      <patternFill patternType="solid">
        <fgColor rgb="FFFFF2CC"/>
        <bgColor rgb="FFFFFFCC"/>
      </patternFill>
    </fill>
    <fill>
      <patternFill patternType="solid">
        <fgColor rgb="FFF8CBCB"/>
        <bgColor rgb="FFD9E2F3"/>
      </patternFill>
    </fill>
    <fill>
      <patternFill patternType="solid">
        <fgColor rgb="FFCCE5FF"/>
        <b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166" fontId="11" fillId="0" borderId="0" xfId="0" applyNumberFormat="1" applyFont="1"/>
    <xf numFmtId="0" fontId="7" fillId="0" borderId="0" xfId="0" applyFont="1"/>
    <xf numFmtId="0" fontId="7" fillId="8" borderId="1" xfId="0" applyFont="1" applyFill="1" applyBorder="1"/>
    <xf numFmtId="0" fontId="9" fillId="0" borderId="0" xfId="0" applyFont="1" applyAlignment="1">
      <alignment wrapText="1"/>
    </xf>
    <xf numFmtId="0" fontId="4" fillId="0" borderId="0" xfId="0" applyFont="1" applyAlignment="1">
      <alignment vertical="top" wrapText="1"/>
    </xf>
    <xf numFmtId="0" fontId="8" fillId="0" borderId="0" xfId="0" applyFont="1"/>
    <xf numFmtId="0" fontId="2" fillId="3" borderId="0" xfId="0" applyFont="1" applyFill="1" applyAlignment="1">
      <alignment horizontal="left" vertical="center" wrapText="1"/>
    </xf>
    <xf numFmtId="0" fontId="1" fillId="2" borderId="0" xfId="0" applyFont="1" applyFill="1" applyAlignment="1">
      <alignment horizontal="center" vertical="center"/>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6"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9" fontId="4"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0" fontId="7" fillId="3" borderId="1" xfId="0" applyFont="1" applyFill="1" applyBorder="1"/>
    <xf numFmtId="0" fontId="7" fillId="3" borderId="1" xfId="0" applyFont="1" applyFill="1" applyBorder="1" applyAlignment="1">
      <alignment horizontal="center" vertical="center" wrapText="1"/>
    </xf>
    <xf numFmtId="9" fontId="7" fillId="3" borderId="1" xfId="0" applyNumberFormat="1" applyFont="1" applyFill="1" applyBorder="1" applyAlignment="1">
      <alignment horizontal="center" vertical="center" wrapText="1"/>
    </xf>
    <xf numFmtId="164" fontId="7" fillId="3" borderId="1" xfId="0" applyNumberFormat="1" applyFont="1" applyFill="1" applyBorder="1" applyAlignment="1">
      <alignment horizontal="center" vertical="center" wrapText="1"/>
    </xf>
    <xf numFmtId="0" fontId="7" fillId="0" borderId="0" xfId="0" applyFont="1"/>
    <xf numFmtId="165" fontId="7" fillId="10" borderId="0" xfId="0" applyNumberFormat="1" applyFont="1" applyFill="1"/>
    <xf numFmtId="165" fontId="4" fillId="0" borderId="1" xfId="0" applyNumberFormat="1" applyFont="1" applyBorder="1" applyAlignment="1">
      <alignment horizontal="center" vertical="center" wrapText="1"/>
    </xf>
    <xf numFmtId="165" fontId="7" fillId="3" borderId="1" xfId="0" applyNumberFormat="1" applyFont="1" applyFill="1" applyBorder="1" applyAlignment="1">
      <alignment horizontal="center" vertical="center" wrapText="1"/>
    </xf>
    <xf numFmtId="0" fontId="4" fillId="0" borderId="1" xfId="0" applyFont="1" applyBorder="1" applyAlignment="1">
      <alignment vertical="center" wrapText="1"/>
    </xf>
    <xf numFmtId="0" fontId="10" fillId="8" borderId="1" xfId="0" applyFont="1" applyFill="1" applyBorder="1" applyAlignment="1">
      <alignment horizontal="left"/>
    </xf>
    <xf numFmtId="14" fontId="4" fillId="7"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E5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D9EAD3"/>
      <rgbColor rgb="FFD9F2D9"/>
      <rgbColor rgb="FFFFF2CC"/>
      <rgbColor rgb="FF99CCFF"/>
      <rgbColor rgb="FFFF99CC"/>
      <rgbColor rgb="FFCC99FF"/>
      <rgbColor rgb="FFF8CBCB"/>
      <rgbColor rgb="FF3366FF"/>
      <rgbColor rgb="FF33CCCC"/>
      <rgbColor rgb="FF99CC00"/>
      <rgbColor rgb="FFFFCC00"/>
      <rgbColor rgb="FFFF9900"/>
      <rgbColor rgb="FFFF6600"/>
      <rgbColor rgb="FF666699"/>
      <rgbColor rgb="FF969696"/>
      <rgbColor rgb="FF0F3460"/>
      <rgbColor rgb="FF339966"/>
      <rgbColor rgb="FF003300"/>
      <rgbColor rgb="FF333300"/>
      <rgbColor rgb="FF993300"/>
      <rgbColor rgb="FF993366"/>
      <rgbColor rgb="FF333399"/>
      <rgbColor rgb="FF16213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eetcode.com/problems/serialize-and-deserialize-binary-tree/" TargetMode="External"/><Relationship Id="rId299" Type="http://schemas.openxmlformats.org/officeDocument/2006/relationships/hyperlink" Target="https://leetcode.com/problems/reverse-integer/" TargetMode="External"/><Relationship Id="rId21" Type="http://schemas.openxmlformats.org/officeDocument/2006/relationships/hyperlink" Target="https://leetcode.com/problems/two-sum-ii-input-array-is-sorted/" TargetMode="External"/><Relationship Id="rId63" Type="http://schemas.openxmlformats.org/officeDocument/2006/relationships/hyperlink" Target="https://leetcode.com/problems/time-based-key-value-store/" TargetMode="External"/><Relationship Id="rId159" Type="http://schemas.openxmlformats.org/officeDocument/2006/relationships/hyperlink" Target="https://leetcode.com/problems/number-of-islands/" TargetMode="External"/><Relationship Id="rId170" Type="http://schemas.openxmlformats.org/officeDocument/2006/relationships/hyperlink" Target="https://neetcode.io/problems/pacific-atlantic-water-flow?list=neetcode150" TargetMode="External"/><Relationship Id="rId226" Type="http://schemas.openxmlformats.org/officeDocument/2006/relationships/hyperlink" Target="https://neetcode.io/problems/buy-and-sell-crypto-with-cooldown?list=neetcode150" TargetMode="External"/><Relationship Id="rId268" Type="http://schemas.openxmlformats.org/officeDocument/2006/relationships/hyperlink" Target="https://neetcode.io/problems/meeting-schedule-ii?list=neetcode150" TargetMode="External"/><Relationship Id="rId32" Type="http://schemas.openxmlformats.org/officeDocument/2006/relationships/hyperlink" Target="https://neetcode.io/problems/longest-substring-without-duplicates?list=neetcode150" TargetMode="External"/><Relationship Id="rId74" Type="http://schemas.openxmlformats.org/officeDocument/2006/relationships/hyperlink" Target="https://neetcode.io/problems/reorder-linked-list?list=neetcode150" TargetMode="External"/><Relationship Id="rId128" Type="http://schemas.openxmlformats.org/officeDocument/2006/relationships/hyperlink" Target="https://neetcode.io/problems/task-scheduling?list=neetcode150" TargetMode="External"/><Relationship Id="rId5" Type="http://schemas.openxmlformats.org/officeDocument/2006/relationships/hyperlink" Target="https://leetcode.com/problems/two-sum/" TargetMode="External"/><Relationship Id="rId181" Type="http://schemas.openxmlformats.org/officeDocument/2006/relationships/hyperlink" Target="https://leetcode.com/problems/redundant-connection/" TargetMode="External"/><Relationship Id="rId237" Type="http://schemas.openxmlformats.org/officeDocument/2006/relationships/hyperlink" Target="https://leetcode.com/problems/edit-distance/" TargetMode="External"/><Relationship Id="rId279" Type="http://schemas.openxmlformats.org/officeDocument/2006/relationships/hyperlink" Target="https://leetcode.com/problems/plus-one/" TargetMode="External"/><Relationship Id="rId43" Type="http://schemas.openxmlformats.org/officeDocument/2006/relationships/hyperlink" Target="https://leetcode.com/problems/min-stack/" TargetMode="External"/><Relationship Id="rId139" Type="http://schemas.openxmlformats.org/officeDocument/2006/relationships/hyperlink" Target="https://leetcode.com/problems/permutations/" TargetMode="External"/><Relationship Id="rId290" Type="http://schemas.openxmlformats.org/officeDocument/2006/relationships/hyperlink" Target="https://neetcode.io/problems/number-of-one-bits?list=neetcode150" TargetMode="External"/><Relationship Id="rId85" Type="http://schemas.openxmlformats.org/officeDocument/2006/relationships/hyperlink" Target="https://leetcode.com/problems/merge-k-sorted-lists/" TargetMode="External"/><Relationship Id="rId150" Type="http://schemas.openxmlformats.org/officeDocument/2006/relationships/hyperlink" Target="https://neetcode.io/problems/combinations-of-a-phone-number?list=neetcode150" TargetMode="External"/><Relationship Id="rId192" Type="http://schemas.openxmlformats.org/officeDocument/2006/relationships/hyperlink" Target="https://neetcode.io/problems/swim-in-rising-water?list=neetcode150" TargetMode="External"/><Relationship Id="rId206" Type="http://schemas.openxmlformats.org/officeDocument/2006/relationships/hyperlink" Target="https://neetcode.io/problems/longest-palindromic-substring?list=neetcode150" TargetMode="External"/><Relationship Id="rId248" Type="http://schemas.openxmlformats.org/officeDocument/2006/relationships/hyperlink" Target="https://neetcode.io/problems/jump-game-ii?list=neetcode150" TargetMode="External"/><Relationship Id="rId12" Type="http://schemas.openxmlformats.org/officeDocument/2006/relationships/hyperlink" Target="https://neetcode.io/problems/string-encode-and-decode?list=neetcode150" TargetMode="External"/><Relationship Id="rId108" Type="http://schemas.openxmlformats.org/officeDocument/2006/relationships/hyperlink" Target="https://neetcode.io/problems/count-good-nodes-in-binary-tree?list=neetcode150" TargetMode="External"/><Relationship Id="rId54" Type="http://schemas.openxmlformats.org/officeDocument/2006/relationships/hyperlink" Target="https://neetcode.io/problems/binary-search?list=neetcode150" TargetMode="External"/><Relationship Id="rId96" Type="http://schemas.openxmlformats.org/officeDocument/2006/relationships/hyperlink" Target="https://neetcode.io/problems/balanced-binary-tree?list=neetcode150" TargetMode="External"/><Relationship Id="rId161" Type="http://schemas.openxmlformats.org/officeDocument/2006/relationships/hyperlink" Target="https://leetcode.com/problems/max-area-of-island/" TargetMode="External"/><Relationship Id="rId217" Type="http://schemas.openxmlformats.org/officeDocument/2006/relationships/hyperlink" Target="https://leetcode.com/problems/longest-increasing-subsequence/" TargetMode="External"/><Relationship Id="rId6" Type="http://schemas.openxmlformats.org/officeDocument/2006/relationships/hyperlink" Target="https://neetcode.io/problems/two-integer-sum?list=neetcode150" TargetMode="External"/><Relationship Id="rId238" Type="http://schemas.openxmlformats.org/officeDocument/2006/relationships/hyperlink" Target="https://neetcode.io/problems/edit-distance?list=neetcode150" TargetMode="External"/><Relationship Id="rId259" Type="http://schemas.openxmlformats.org/officeDocument/2006/relationships/hyperlink" Target="https://leetcode.com/problems/insert-interval/" TargetMode="External"/><Relationship Id="rId23" Type="http://schemas.openxmlformats.org/officeDocument/2006/relationships/hyperlink" Target="https://leetcode.com/problems/3sum/" TargetMode="External"/><Relationship Id="rId119" Type="http://schemas.openxmlformats.org/officeDocument/2006/relationships/hyperlink" Target="https://leetcode.com/problems/kth-largest-element-in-a-stream/" TargetMode="External"/><Relationship Id="rId270" Type="http://schemas.openxmlformats.org/officeDocument/2006/relationships/hyperlink" Target="https://neetcode.io/problems/minimum-interval-including-query?list=neetcode150" TargetMode="External"/><Relationship Id="rId291" Type="http://schemas.openxmlformats.org/officeDocument/2006/relationships/hyperlink" Target="https://leetcode.com/problems/counting-bits/" TargetMode="External"/><Relationship Id="rId44" Type="http://schemas.openxmlformats.org/officeDocument/2006/relationships/hyperlink" Target="https://neetcode.io/problems/minimum-stack?list=neetcode150" TargetMode="External"/><Relationship Id="rId65" Type="http://schemas.openxmlformats.org/officeDocument/2006/relationships/hyperlink" Target="https://leetcode.com/problems/median-of-two-sorted-arrays/" TargetMode="External"/><Relationship Id="rId86" Type="http://schemas.openxmlformats.org/officeDocument/2006/relationships/hyperlink" Target="https://neetcode.io/problems/merge-k-sorted-linked-lists?list=neetcode150" TargetMode="External"/><Relationship Id="rId130" Type="http://schemas.openxmlformats.org/officeDocument/2006/relationships/hyperlink" Target="https://neetcode.io/problems/design-twitter-feed?list=neetcode150" TargetMode="External"/><Relationship Id="rId151" Type="http://schemas.openxmlformats.org/officeDocument/2006/relationships/hyperlink" Target="https://leetcode.com/problems/n-queens/" TargetMode="External"/><Relationship Id="rId172" Type="http://schemas.openxmlformats.org/officeDocument/2006/relationships/hyperlink" Target="https://neetcode.io/problems/surrounded-regions?list=neetcode150" TargetMode="External"/><Relationship Id="rId193" Type="http://schemas.openxmlformats.org/officeDocument/2006/relationships/hyperlink" Target="https://leetcode.com/problems/alien-dictionary/" TargetMode="External"/><Relationship Id="rId207" Type="http://schemas.openxmlformats.org/officeDocument/2006/relationships/hyperlink" Target="https://leetcode.com/problems/palindromic-substrings/" TargetMode="External"/><Relationship Id="rId228" Type="http://schemas.openxmlformats.org/officeDocument/2006/relationships/hyperlink" Target="https://neetcode.io/problems/coin-change-ii?list=neetcode150" TargetMode="External"/><Relationship Id="rId249" Type="http://schemas.openxmlformats.org/officeDocument/2006/relationships/hyperlink" Target="https://leetcode.com/problems/gas-station/" TargetMode="External"/><Relationship Id="rId13" Type="http://schemas.openxmlformats.org/officeDocument/2006/relationships/hyperlink" Target="https://leetcode.com/problems/product-of-array-except-self/" TargetMode="External"/><Relationship Id="rId109" Type="http://schemas.openxmlformats.org/officeDocument/2006/relationships/hyperlink" Target="https://leetcode.com/problems/validate-binary-search-tree/" TargetMode="External"/><Relationship Id="rId260" Type="http://schemas.openxmlformats.org/officeDocument/2006/relationships/hyperlink" Target="https://neetcode.io/problems/insert-new-interval?list=neetcode150" TargetMode="External"/><Relationship Id="rId281" Type="http://schemas.openxmlformats.org/officeDocument/2006/relationships/hyperlink" Target="https://leetcode.com/problems/powx-n/" TargetMode="External"/><Relationship Id="rId34" Type="http://schemas.openxmlformats.org/officeDocument/2006/relationships/hyperlink" Target="https://neetcode.io/problems/longest-repeating-substring-with-replacement?list=neetcode150" TargetMode="External"/><Relationship Id="rId55" Type="http://schemas.openxmlformats.org/officeDocument/2006/relationships/hyperlink" Target="https://leetcode.com/problems/search-a-2d-matrix/" TargetMode="External"/><Relationship Id="rId76" Type="http://schemas.openxmlformats.org/officeDocument/2006/relationships/hyperlink" Target="https://neetcode.io/problems/remove-node-from-end-of-linked-list?list=neetcode150" TargetMode="External"/><Relationship Id="rId97" Type="http://schemas.openxmlformats.org/officeDocument/2006/relationships/hyperlink" Target="https://leetcode.com/problems/same-tree/" TargetMode="External"/><Relationship Id="rId120" Type="http://schemas.openxmlformats.org/officeDocument/2006/relationships/hyperlink" Target="https://neetcode.io/problems/kth-largest-integer-in-a-stream?list=neetcode150" TargetMode="External"/><Relationship Id="rId141" Type="http://schemas.openxmlformats.org/officeDocument/2006/relationships/hyperlink" Target="https://leetcode.com/problems/subsets-ii/" TargetMode="External"/><Relationship Id="rId7" Type="http://schemas.openxmlformats.org/officeDocument/2006/relationships/hyperlink" Target="https://leetcode.com/problems/group-anagrams/" TargetMode="External"/><Relationship Id="rId162" Type="http://schemas.openxmlformats.org/officeDocument/2006/relationships/hyperlink" Target="https://neetcode.io/problems/max-area-of-island?list=neetcode150" TargetMode="External"/><Relationship Id="rId183" Type="http://schemas.openxmlformats.org/officeDocument/2006/relationships/hyperlink" Target="https://leetcode.com/problems/word-ladder/" TargetMode="External"/><Relationship Id="rId218" Type="http://schemas.openxmlformats.org/officeDocument/2006/relationships/hyperlink" Target="https://neetcode.io/problems/longest-increasing-subsequence?list=neetcode150" TargetMode="External"/><Relationship Id="rId239" Type="http://schemas.openxmlformats.org/officeDocument/2006/relationships/hyperlink" Target="https://leetcode.com/problems/burst-balloons/" TargetMode="External"/><Relationship Id="rId250" Type="http://schemas.openxmlformats.org/officeDocument/2006/relationships/hyperlink" Target="https://neetcode.io/problems/gas-station?list=neetcode150" TargetMode="External"/><Relationship Id="rId271" Type="http://schemas.openxmlformats.org/officeDocument/2006/relationships/hyperlink" Target="https://leetcode.com/problems/rotate-image/" TargetMode="External"/><Relationship Id="rId292" Type="http://schemas.openxmlformats.org/officeDocument/2006/relationships/hyperlink" Target="https://neetcode.io/problems/counting-bits?list=neetcode150" TargetMode="External"/><Relationship Id="rId24" Type="http://schemas.openxmlformats.org/officeDocument/2006/relationships/hyperlink" Target="https://neetcode.io/problems/three-integer-sum?list=neetcode150" TargetMode="External"/><Relationship Id="rId45" Type="http://schemas.openxmlformats.org/officeDocument/2006/relationships/hyperlink" Target="https://leetcode.com/problems/evaluate-reverse-polish-notation/" TargetMode="External"/><Relationship Id="rId66" Type="http://schemas.openxmlformats.org/officeDocument/2006/relationships/hyperlink" Target="https://neetcode.io/problems/median-of-two-sorted-arrays?list=neetcode150" TargetMode="External"/><Relationship Id="rId87" Type="http://schemas.openxmlformats.org/officeDocument/2006/relationships/hyperlink" Target="https://leetcode.com/problems/reverse-nodes-in-k-group/" TargetMode="External"/><Relationship Id="rId110" Type="http://schemas.openxmlformats.org/officeDocument/2006/relationships/hyperlink" Target="https://neetcode.io/problems/valid-binary-search-tree?list=neetcode150" TargetMode="External"/><Relationship Id="rId131" Type="http://schemas.openxmlformats.org/officeDocument/2006/relationships/hyperlink" Target="https://leetcode.com/problems/find-median-from-data-stream/" TargetMode="External"/><Relationship Id="rId152" Type="http://schemas.openxmlformats.org/officeDocument/2006/relationships/hyperlink" Target="https://neetcode.io/problems/n-queens?list=neetcode150" TargetMode="External"/><Relationship Id="rId173" Type="http://schemas.openxmlformats.org/officeDocument/2006/relationships/hyperlink" Target="https://leetcode.com/problems/course-schedule/" TargetMode="External"/><Relationship Id="rId194" Type="http://schemas.openxmlformats.org/officeDocument/2006/relationships/hyperlink" Target="https://neetcode.io/problems/foreign-dictionary?list=neetcode150" TargetMode="External"/><Relationship Id="rId208" Type="http://schemas.openxmlformats.org/officeDocument/2006/relationships/hyperlink" Target="https://neetcode.io/problems/palindromic-substrings?list=neetcode150" TargetMode="External"/><Relationship Id="rId229" Type="http://schemas.openxmlformats.org/officeDocument/2006/relationships/hyperlink" Target="https://leetcode.com/problems/target-sum/" TargetMode="External"/><Relationship Id="rId240" Type="http://schemas.openxmlformats.org/officeDocument/2006/relationships/hyperlink" Target="https://neetcode.io/problems/burst-balloons?list=neetcode150" TargetMode="External"/><Relationship Id="rId261" Type="http://schemas.openxmlformats.org/officeDocument/2006/relationships/hyperlink" Target="https://leetcode.com/problems/merge-intervals/" TargetMode="External"/><Relationship Id="rId14" Type="http://schemas.openxmlformats.org/officeDocument/2006/relationships/hyperlink" Target="https://neetcode.io/problems/products-of-array-discluding-self?list=neetcode150" TargetMode="External"/><Relationship Id="rId35" Type="http://schemas.openxmlformats.org/officeDocument/2006/relationships/hyperlink" Target="https://leetcode.com/problems/permutation-in-string/" TargetMode="External"/><Relationship Id="rId56" Type="http://schemas.openxmlformats.org/officeDocument/2006/relationships/hyperlink" Target="https://neetcode.io/problems/search-2d-matrix?list=neetcode150" TargetMode="External"/><Relationship Id="rId77" Type="http://schemas.openxmlformats.org/officeDocument/2006/relationships/hyperlink" Target="https://leetcode.com/problems/copy-list-with-random-pointer/" TargetMode="External"/><Relationship Id="rId100" Type="http://schemas.openxmlformats.org/officeDocument/2006/relationships/hyperlink" Target="https://neetcode.io/problems/subtree-of-a-binary-tree?list=neetcode150" TargetMode="External"/><Relationship Id="rId282" Type="http://schemas.openxmlformats.org/officeDocument/2006/relationships/hyperlink" Target="https://neetcode.io/problems/pow-x-n?list=neetcode150" TargetMode="External"/><Relationship Id="rId8" Type="http://schemas.openxmlformats.org/officeDocument/2006/relationships/hyperlink" Target="https://neetcode.io/problems/anagram-groups?list=neetcode150" TargetMode="External"/><Relationship Id="rId98" Type="http://schemas.openxmlformats.org/officeDocument/2006/relationships/hyperlink" Target="https://neetcode.io/problems/same-binary-tree?list=neetcode150" TargetMode="External"/><Relationship Id="rId121" Type="http://schemas.openxmlformats.org/officeDocument/2006/relationships/hyperlink" Target="https://leetcode.com/problems/last-stone-weight/" TargetMode="External"/><Relationship Id="rId142" Type="http://schemas.openxmlformats.org/officeDocument/2006/relationships/hyperlink" Target="https://neetcode.io/problems/subsets-ii?list=neetcode150" TargetMode="External"/><Relationship Id="rId163" Type="http://schemas.openxmlformats.org/officeDocument/2006/relationships/hyperlink" Target="https://leetcode.com/problems/clone-graph/" TargetMode="External"/><Relationship Id="rId184" Type="http://schemas.openxmlformats.org/officeDocument/2006/relationships/hyperlink" Target="https://neetcode.io/problems/word-ladder?list=neetcode150" TargetMode="External"/><Relationship Id="rId219" Type="http://schemas.openxmlformats.org/officeDocument/2006/relationships/hyperlink" Target="https://leetcode.com/problems/partition-equal-subset-sum/" TargetMode="External"/><Relationship Id="rId230" Type="http://schemas.openxmlformats.org/officeDocument/2006/relationships/hyperlink" Target="https://neetcode.io/problems/target-sum?list=neetcode150" TargetMode="External"/><Relationship Id="rId251" Type="http://schemas.openxmlformats.org/officeDocument/2006/relationships/hyperlink" Target="https://leetcode.com/problems/hand-of-straights/" TargetMode="External"/><Relationship Id="rId25" Type="http://schemas.openxmlformats.org/officeDocument/2006/relationships/hyperlink" Target="https://leetcode.com/problems/container-with-most-water/" TargetMode="External"/><Relationship Id="rId46" Type="http://schemas.openxmlformats.org/officeDocument/2006/relationships/hyperlink" Target="https://neetcode.io/problems/evaluate-reverse-polish-notation?list=neetcode150" TargetMode="External"/><Relationship Id="rId67" Type="http://schemas.openxmlformats.org/officeDocument/2006/relationships/hyperlink" Target="https://leetcode.com/problems/reverse-linked-list/" TargetMode="External"/><Relationship Id="rId272" Type="http://schemas.openxmlformats.org/officeDocument/2006/relationships/hyperlink" Target="https://neetcode.io/problems/rotate-matrix?list=neetcode150" TargetMode="External"/><Relationship Id="rId293" Type="http://schemas.openxmlformats.org/officeDocument/2006/relationships/hyperlink" Target="https://leetcode.com/problems/reverse-bits/" TargetMode="External"/><Relationship Id="rId88" Type="http://schemas.openxmlformats.org/officeDocument/2006/relationships/hyperlink" Target="https://neetcode.io/problems/reverse-nodes-in-k-group?list=neetcode150" TargetMode="External"/><Relationship Id="rId111" Type="http://schemas.openxmlformats.org/officeDocument/2006/relationships/hyperlink" Target="https://leetcode.com/problems/kth-smallest-element-in-a-bst/" TargetMode="External"/><Relationship Id="rId132" Type="http://schemas.openxmlformats.org/officeDocument/2006/relationships/hyperlink" Target="https://neetcode.io/problems/find-median-in-a-data-stream?list=neetcode150" TargetMode="External"/><Relationship Id="rId153" Type="http://schemas.openxmlformats.org/officeDocument/2006/relationships/hyperlink" Target="https://leetcode.com/problems/implement-trie-prefix-tree/" TargetMode="External"/><Relationship Id="rId174" Type="http://schemas.openxmlformats.org/officeDocument/2006/relationships/hyperlink" Target="https://neetcode.io/problems/course-schedule?list=neetcode150" TargetMode="External"/><Relationship Id="rId195" Type="http://schemas.openxmlformats.org/officeDocument/2006/relationships/hyperlink" Target="https://leetcode.com/problems/cheapest-flights-within-k-stops/" TargetMode="External"/><Relationship Id="rId209" Type="http://schemas.openxmlformats.org/officeDocument/2006/relationships/hyperlink" Target="https://leetcode.com/problems/decode-ways/" TargetMode="External"/><Relationship Id="rId220" Type="http://schemas.openxmlformats.org/officeDocument/2006/relationships/hyperlink" Target="https://neetcode.io/problems/partition-equal-subset-sum?list=neetcode150" TargetMode="External"/><Relationship Id="rId241" Type="http://schemas.openxmlformats.org/officeDocument/2006/relationships/hyperlink" Target="https://leetcode.com/problems/regular-expression-matching/" TargetMode="External"/><Relationship Id="rId15" Type="http://schemas.openxmlformats.org/officeDocument/2006/relationships/hyperlink" Target="https://leetcode.com/problems/valid-sudoku/" TargetMode="External"/><Relationship Id="rId36" Type="http://schemas.openxmlformats.org/officeDocument/2006/relationships/hyperlink" Target="https://neetcode.io/problems/permutation-string?list=neetcode150" TargetMode="External"/><Relationship Id="rId57" Type="http://schemas.openxmlformats.org/officeDocument/2006/relationships/hyperlink" Target="https://leetcode.com/problems/koko-eating-bananas/" TargetMode="External"/><Relationship Id="rId262" Type="http://schemas.openxmlformats.org/officeDocument/2006/relationships/hyperlink" Target="https://neetcode.io/problems/merge-intervals?list=neetcode150" TargetMode="External"/><Relationship Id="rId283" Type="http://schemas.openxmlformats.org/officeDocument/2006/relationships/hyperlink" Target="https://leetcode.com/problems/multiply-strings/" TargetMode="External"/><Relationship Id="rId78" Type="http://schemas.openxmlformats.org/officeDocument/2006/relationships/hyperlink" Target="https://neetcode.io/problems/copy-linked-list-with-random-pointer?list=neetcode150" TargetMode="External"/><Relationship Id="rId99" Type="http://schemas.openxmlformats.org/officeDocument/2006/relationships/hyperlink" Target="https://leetcode.com/problems/subtree-of-another-tree/" TargetMode="External"/><Relationship Id="rId101" Type="http://schemas.openxmlformats.org/officeDocument/2006/relationships/hyperlink" Target="https://leetcode.com/problems/lowest-common-ancestor-of-a-binary-search-tree/" TargetMode="External"/><Relationship Id="rId122" Type="http://schemas.openxmlformats.org/officeDocument/2006/relationships/hyperlink" Target="https://neetcode.io/problems/last-stone-weight?list=neetcode150" TargetMode="External"/><Relationship Id="rId143" Type="http://schemas.openxmlformats.org/officeDocument/2006/relationships/hyperlink" Target="https://leetcode.com/problems/generate-parentheses/" TargetMode="External"/><Relationship Id="rId164" Type="http://schemas.openxmlformats.org/officeDocument/2006/relationships/hyperlink" Target="https://neetcode.io/problems/clone-graph?list=neetcode150" TargetMode="External"/><Relationship Id="rId185" Type="http://schemas.openxmlformats.org/officeDocument/2006/relationships/hyperlink" Target="https://leetcode.com/problems/network-delay-time/" TargetMode="External"/><Relationship Id="rId9" Type="http://schemas.openxmlformats.org/officeDocument/2006/relationships/hyperlink" Target="https://leetcode.com/problems/top-k-frequent-elements/" TargetMode="External"/><Relationship Id="rId210" Type="http://schemas.openxmlformats.org/officeDocument/2006/relationships/hyperlink" Target="https://neetcode.io/problems/decode-ways?list=neetcode150" TargetMode="External"/><Relationship Id="rId26" Type="http://schemas.openxmlformats.org/officeDocument/2006/relationships/hyperlink" Target="https://neetcode.io/problems/max-water-container?list=neetcode150" TargetMode="External"/><Relationship Id="rId231" Type="http://schemas.openxmlformats.org/officeDocument/2006/relationships/hyperlink" Target="https://leetcode.com/problems/interleaving-string/" TargetMode="External"/><Relationship Id="rId252" Type="http://schemas.openxmlformats.org/officeDocument/2006/relationships/hyperlink" Target="https://neetcode.io/problems/hand-of-straights?list=neetcode150" TargetMode="External"/><Relationship Id="rId273" Type="http://schemas.openxmlformats.org/officeDocument/2006/relationships/hyperlink" Target="https://leetcode.com/problems/spiral-matrix/" TargetMode="External"/><Relationship Id="rId294" Type="http://schemas.openxmlformats.org/officeDocument/2006/relationships/hyperlink" Target="https://neetcode.io/problems/reverse-bits?list=neetcode150" TargetMode="External"/><Relationship Id="rId47" Type="http://schemas.openxmlformats.org/officeDocument/2006/relationships/hyperlink" Target="https://leetcode.com/problems/daily-temperatures/" TargetMode="External"/><Relationship Id="rId68" Type="http://schemas.openxmlformats.org/officeDocument/2006/relationships/hyperlink" Target="https://neetcode.io/problems/reverse-a-linked-list?list=neetcode150" TargetMode="External"/><Relationship Id="rId89" Type="http://schemas.openxmlformats.org/officeDocument/2006/relationships/hyperlink" Target="https://leetcode.com/problems/invert-binary-tree/" TargetMode="External"/><Relationship Id="rId112" Type="http://schemas.openxmlformats.org/officeDocument/2006/relationships/hyperlink" Target="https://neetcode.io/problems/kth-smallest-integer-in-bst?list=neetcode150" TargetMode="External"/><Relationship Id="rId133" Type="http://schemas.openxmlformats.org/officeDocument/2006/relationships/hyperlink" Target="https://leetcode.com/problems/subsets/" TargetMode="External"/><Relationship Id="rId154" Type="http://schemas.openxmlformats.org/officeDocument/2006/relationships/hyperlink" Target="https://neetcode.io/problems/implement-prefix-tree?list=neetcode150" TargetMode="External"/><Relationship Id="rId175" Type="http://schemas.openxmlformats.org/officeDocument/2006/relationships/hyperlink" Target="https://leetcode.com/problems/course-schedule-ii/" TargetMode="External"/><Relationship Id="rId196" Type="http://schemas.openxmlformats.org/officeDocument/2006/relationships/hyperlink" Target="https://neetcode.io/problems/cheapest-flight-path?list=neetcode150" TargetMode="External"/><Relationship Id="rId200" Type="http://schemas.openxmlformats.org/officeDocument/2006/relationships/hyperlink" Target="https://neetcode.io/problems/min-cost-climbing-stairs?list=neetcode150" TargetMode="External"/><Relationship Id="rId16" Type="http://schemas.openxmlformats.org/officeDocument/2006/relationships/hyperlink" Target="https://neetcode.io/problems/valid-sudoku?list=neetcode150" TargetMode="External"/><Relationship Id="rId221" Type="http://schemas.openxmlformats.org/officeDocument/2006/relationships/hyperlink" Target="https://leetcode.com/problems/unique-paths/" TargetMode="External"/><Relationship Id="rId242" Type="http://schemas.openxmlformats.org/officeDocument/2006/relationships/hyperlink" Target="https://neetcode.io/problems/regular-expression-matching?list=neetcode150" TargetMode="External"/><Relationship Id="rId263" Type="http://schemas.openxmlformats.org/officeDocument/2006/relationships/hyperlink" Target="https://leetcode.com/problems/non-overlapping-intervals/" TargetMode="External"/><Relationship Id="rId284" Type="http://schemas.openxmlformats.org/officeDocument/2006/relationships/hyperlink" Target="https://neetcode.io/problems/multiply-strings?list=neetcode150" TargetMode="External"/><Relationship Id="rId37" Type="http://schemas.openxmlformats.org/officeDocument/2006/relationships/hyperlink" Target="https://leetcode.com/problems/minimum-window-substring/" TargetMode="External"/><Relationship Id="rId58" Type="http://schemas.openxmlformats.org/officeDocument/2006/relationships/hyperlink" Target="https://neetcode.io/problems/eating-bananas?list=neetcode150" TargetMode="External"/><Relationship Id="rId79" Type="http://schemas.openxmlformats.org/officeDocument/2006/relationships/hyperlink" Target="https://leetcode.com/problems/add-two-numbers/" TargetMode="External"/><Relationship Id="rId102" Type="http://schemas.openxmlformats.org/officeDocument/2006/relationships/hyperlink" Target="https://neetcode.io/problems/lowest-common-ancestor-in-binary-search-tree?list=neetcode150" TargetMode="External"/><Relationship Id="rId123" Type="http://schemas.openxmlformats.org/officeDocument/2006/relationships/hyperlink" Target="https://leetcode.com/problems/k-closest-points-to-origin/" TargetMode="External"/><Relationship Id="rId144" Type="http://schemas.openxmlformats.org/officeDocument/2006/relationships/hyperlink" Target="https://neetcode.io/problems/generate-parentheses?list=neetcode150" TargetMode="External"/><Relationship Id="rId90" Type="http://schemas.openxmlformats.org/officeDocument/2006/relationships/hyperlink" Target="https://neetcode.io/problems/invert-a-binary-tree?list=neetcode150" TargetMode="External"/><Relationship Id="rId165" Type="http://schemas.openxmlformats.org/officeDocument/2006/relationships/hyperlink" Target="https://leetcode.com/problems/walls-and-gates/" TargetMode="External"/><Relationship Id="rId186" Type="http://schemas.openxmlformats.org/officeDocument/2006/relationships/hyperlink" Target="https://neetcode.io/problems/network-delay-time?list=neetcode150" TargetMode="External"/><Relationship Id="rId211" Type="http://schemas.openxmlformats.org/officeDocument/2006/relationships/hyperlink" Target="https://leetcode.com/problems/coin-change/" TargetMode="External"/><Relationship Id="rId232" Type="http://schemas.openxmlformats.org/officeDocument/2006/relationships/hyperlink" Target="https://neetcode.io/problems/interleaving-string?list=neetcode150" TargetMode="External"/><Relationship Id="rId253" Type="http://schemas.openxmlformats.org/officeDocument/2006/relationships/hyperlink" Target="https://leetcode.com/problems/merge-triplets-to-form-target-triplet/" TargetMode="External"/><Relationship Id="rId274" Type="http://schemas.openxmlformats.org/officeDocument/2006/relationships/hyperlink" Target="https://neetcode.io/problems/spiral-matrix?list=neetcode150" TargetMode="External"/><Relationship Id="rId295" Type="http://schemas.openxmlformats.org/officeDocument/2006/relationships/hyperlink" Target="https://leetcode.com/problems/missing-number/" TargetMode="External"/><Relationship Id="rId27" Type="http://schemas.openxmlformats.org/officeDocument/2006/relationships/hyperlink" Target="https://leetcode.com/problems/trapping-rain-water/" TargetMode="External"/><Relationship Id="rId48" Type="http://schemas.openxmlformats.org/officeDocument/2006/relationships/hyperlink" Target="https://neetcode.io/problems/daily-temperatures?list=neetcode150" TargetMode="External"/><Relationship Id="rId69" Type="http://schemas.openxmlformats.org/officeDocument/2006/relationships/hyperlink" Target="https://leetcode.com/problems/merge-two-sorted-lists/" TargetMode="External"/><Relationship Id="rId113" Type="http://schemas.openxmlformats.org/officeDocument/2006/relationships/hyperlink" Target="https://leetcode.com/problems/construct-binary-tree-from-preorder-and-inorder-traversal/" TargetMode="External"/><Relationship Id="rId134" Type="http://schemas.openxmlformats.org/officeDocument/2006/relationships/hyperlink" Target="https://neetcode.io/problems/subsets?list=neetcode150" TargetMode="External"/><Relationship Id="rId80" Type="http://schemas.openxmlformats.org/officeDocument/2006/relationships/hyperlink" Target="https://neetcode.io/problems/add-two-numbers?list=neetcode150" TargetMode="External"/><Relationship Id="rId155" Type="http://schemas.openxmlformats.org/officeDocument/2006/relationships/hyperlink" Target="https://leetcode.com/problems/design-add-and-search-words-data-structure/" TargetMode="External"/><Relationship Id="rId176" Type="http://schemas.openxmlformats.org/officeDocument/2006/relationships/hyperlink" Target="https://neetcode.io/problems/course-schedule-ii?list=neetcode150" TargetMode="External"/><Relationship Id="rId197" Type="http://schemas.openxmlformats.org/officeDocument/2006/relationships/hyperlink" Target="https://leetcode.com/problems/climbing-stairs/" TargetMode="External"/><Relationship Id="rId201" Type="http://schemas.openxmlformats.org/officeDocument/2006/relationships/hyperlink" Target="https://leetcode.com/problems/house-robber/" TargetMode="External"/><Relationship Id="rId222" Type="http://schemas.openxmlformats.org/officeDocument/2006/relationships/hyperlink" Target="https://neetcode.io/problems/count-paths?list=neetcode150" TargetMode="External"/><Relationship Id="rId243" Type="http://schemas.openxmlformats.org/officeDocument/2006/relationships/hyperlink" Target="https://leetcode.com/problems/maximum-subarray/" TargetMode="External"/><Relationship Id="rId264" Type="http://schemas.openxmlformats.org/officeDocument/2006/relationships/hyperlink" Target="https://neetcode.io/problems/non-overlapping-intervals?list=neetcode150" TargetMode="External"/><Relationship Id="rId285" Type="http://schemas.openxmlformats.org/officeDocument/2006/relationships/hyperlink" Target="https://leetcode.com/problems/detect-squares/" TargetMode="External"/><Relationship Id="rId17" Type="http://schemas.openxmlformats.org/officeDocument/2006/relationships/hyperlink" Target="https://leetcode.com/problems/longest-consecutive-sequence/" TargetMode="External"/><Relationship Id="rId38" Type="http://schemas.openxmlformats.org/officeDocument/2006/relationships/hyperlink" Target="https://neetcode.io/problems/minimum-window-with-characters?list=neetcode150" TargetMode="External"/><Relationship Id="rId59" Type="http://schemas.openxmlformats.org/officeDocument/2006/relationships/hyperlink" Target="https://leetcode.com/problems/find-minimum-in-rotated-sorted-array/" TargetMode="External"/><Relationship Id="rId103" Type="http://schemas.openxmlformats.org/officeDocument/2006/relationships/hyperlink" Target="https://leetcode.com/problems/binary-tree-level-order-traversal/" TargetMode="External"/><Relationship Id="rId124" Type="http://schemas.openxmlformats.org/officeDocument/2006/relationships/hyperlink" Target="https://neetcode.io/problems/k-closest-points-to-origin?list=neetcode150" TargetMode="External"/><Relationship Id="rId70" Type="http://schemas.openxmlformats.org/officeDocument/2006/relationships/hyperlink" Target="https://neetcode.io/problems/merge-two-sorted-linked-lists?list=neetcode150" TargetMode="External"/><Relationship Id="rId91" Type="http://schemas.openxmlformats.org/officeDocument/2006/relationships/hyperlink" Target="https://leetcode.com/problems/maximum-depth-of-binary-tree/" TargetMode="External"/><Relationship Id="rId145" Type="http://schemas.openxmlformats.org/officeDocument/2006/relationships/hyperlink" Target="https://leetcode.com/problems/word-search/" TargetMode="External"/><Relationship Id="rId166" Type="http://schemas.openxmlformats.org/officeDocument/2006/relationships/hyperlink" Target="https://neetcode.io/problems/islands-and-treasure?list=neetcode150" TargetMode="External"/><Relationship Id="rId187" Type="http://schemas.openxmlformats.org/officeDocument/2006/relationships/hyperlink" Target="https://leetcode.com/problems/reconstruct-itinerary/" TargetMode="External"/><Relationship Id="rId1" Type="http://schemas.openxmlformats.org/officeDocument/2006/relationships/hyperlink" Target="https://leetcode.com/problems/contains-duplicate/" TargetMode="External"/><Relationship Id="rId212" Type="http://schemas.openxmlformats.org/officeDocument/2006/relationships/hyperlink" Target="https://neetcode.io/problems/coin-change?list=neetcode150" TargetMode="External"/><Relationship Id="rId233" Type="http://schemas.openxmlformats.org/officeDocument/2006/relationships/hyperlink" Target="https://leetcode.com/problems/longest-increasing-path-in-a-matrix/" TargetMode="External"/><Relationship Id="rId254" Type="http://schemas.openxmlformats.org/officeDocument/2006/relationships/hyperlink" Target="https://neetcode.io/problems/merge-triplets-to-form-target?list=neetcode150" TargetMode="External"/><Relationship Id="rId28" Type="http://schemas.openxmlformats.org/officeDocument/2006/relationships/hyperlink" Target="https://neetcode.io/problems/trapping-rain-water?list=neetcode150" TargetMode="External"/><Relationship Id="rId49" Type="http://schemas.openxmlformats.org/officeDocument/2006/relationships/hyperlink" Target="https://leetcode.com/problems/car-fleet/" TargetMode="External"/><Relationship Id="rId114" Type="http://schemas.openxmlformats.org/officeDocument/2006/relationships/hyperlink" Target="https://neetcode.io/problems/binary-tree-from-preorder-and-inorder-traversal?list=neetcode150" TargetMode="External"/><Relationship Id="rId275" Type="http://schemas.openxmlformats.org/officeDocument/2006/relationships/hyperlink" Target="https://leetcode.com/problems/set-matrix-zeroes/" TargetMode="External"/><Relationship Id="rId296" Type="http://schemas.openxmlformats.org/officeDocument/2006/relationships/hyperlink" Target="https://neetcode.io/problems/missing-number?list=neetcode150" TargetMode="External"/><Relationship Id="rId300" Type="http://schemas.openxmlformats.org/officeDocument/2006/relationships/hyperlink" Target="https://neetcode.io/problems/reverse-integer?list=neetcode150" TargetMode="External"/><Relationship Id="rId60" Type="http://schemas.openxmlformats.org/officeDocument/2006/relationships/hyperlink" Target="https://neetcode.io/problems/find-minimum-in-rotated-sorted-array?list=neetcode150" TargetMode="External"/><Relationship Id="rId81" Type="http://schemas.openxmlformats.org/officeDocument/2006/relationships/hyperlink" Target="https://leetcode.com/problems/find-the-duplicate-number/" TargetMode="External"/><Relationship Id="rId135" Type="http://schemas.openxmlformats.org/officeDocument/2006/relationships/hyperlink" Target="https://leetcode.com/problems/combination-sum/" TargetMode="External"/><Relationship Id="rId156" Type="http://schemas.openxmlformats.org/officeDocument/2006/relationships/hyperlink" Target="https://neetcode.io/problems/design-word-search-data-structure?list=neetcode150" TargetMode="External"/><Relationship Id="rId177" Type="http://schemas.openxmlformats.org/officeDocument/2006/relationships/hyperlink" Target="https://leetcode.com/problems/graph-valid-tree/" TargetMode="External"/><Relationship Id="rId198" Type="http://schemas.openxmlformats.org/officeDocument/2006/relationships/hyperlink" Target="https://neetcode.io/problems/climbing-stairs?list=neetcode150" TargetMode="External"/><Relationship Id="rId202" Type="http://schemas.openxmlformats.org/officeDocument/2006/relationships/hyperlink" Target="https://neetcode.io/problems/house-robber?list=neetcode150" TargetMode="External"/><Relationship Id="rId223" Type="http://schemas.openxmlformats.org/officeDocument/2006/relationships/hyperlink" Target="https://leetcode.com/problems/longest-common-subsequence/" TargetMode="External"/><Relationship Id="rId244" Type="http://schemas.openxmlformats.org/officeDocument/2006/relationships/hyperlink" Target="https://neetcode.io/problems/maximum-subarray?list=neetcode150" TargetMode="External"/><Relationship Id="rId18" Type="http://schemas.openxmlformats.org/officeDocument/2006/relationships/hyperlink" Target="https://neetcode.io/problems/longest-consecutive-sequence?list=neetcode150" TargetMode="External"/><Relationship Id="rId39" Type="http://schemas.openxmlformats.org/officeDocument/2006/relationships/hyperlink" Target="https://leetcode.com/problems/sliding-window-maximum/" TargetMode="External"/><Relationship Id="rId265" Type="http://schemas.openxmlformats.org/officeDocument/2006/relationships/hyperlink" Target="https://leetcode.com/problems/meeting-rooms/" TargetMode="External"/><Relationship Id="rId286" Type="http://schemas.openxmlformats.org/officeDocument/2006/relationships/hyperlink" Target="https://neetcode.io/problems/count-squares?list=neetcode150" TargetMode="External"/><Relationship Id="rId50" Type="http://schemas.openxmlformats.org/officeDocument/2006/relationships/hyperlink" Target="https://neetcode.io/problems/car-fleet?list=neetcode150" TargetMode="External"/><Relationship Id="rId104" Type="http://schemas.openxmlformats.org/officeDocument/2006/relationships/hyperlink" Target="https://neetcode.io/problems/level-order-traversal-of-binary-tree?list=neetcode150" TargetMode="External"/><Relationship Id="rId125" Type="http://schemas.openxmlformats.org/officeDocument/2006/relationships/hyperlink" Target="https://leetcode.com/problems/kth-largest-element-in-an-array/" TargetMode="External"/><Relationship Id="rId146" Type="http://schemas.openxmlformats.org/officeDocument/2006/relationships/hyperlink" Target="https://neetcode.io/problems/search-for-word?list=neetcode150" TargetMode="External"/><Relationship Id="rId167" Type="http://schemas.openxmlformats.org/officeDocument/2006/relationships/hyperlink" Target="https://leetcode.com/problems/rotting-oranges/" TargetMode="External"/><Relationship Id="rId188" Type="http://schemas.openxmlformats.org/officeDocument/2006/relationships/hyperlink" Target="https://neetcode.io/problems/reconstruct-flight-path?list=neetcode150" TargetMode="External"/><Relationship Id="rId71" Type="http://schemas.openxmlformats.org/officeDocument/2006/relationships/hyperlink" Target="https://leetcode.com/problems/linked-list-cycle/" TargetMode="External"/><Relationship Id="rId92" Type="http://schemas.openxmlformats.org/officeDocument/2006/relationships/hyperlink" Target="https://neetcode.io/problems/depth-of-binary-tree?list=neetcode150" TargetMode="External"/><Relationship Id="rId213" Type="http://schemas.openxmlformats.org/officeDocument/2006/relationships/hyperlink" Target="https://leetcode.com/problems/maximum-product-subarray/" TargetMode="External"/><Relationship Id="rId234" Type="http://schemas.openxmlformats.org/officeDocument/2006/relationships/hyperlink" Target="https://neetcode.io/problems/longest-increasing-path-in-matrix?list=neetcode150" TargetMode="External"/><Relationship Id="rId2" Type="http://schemas.openxmlformats.org/officeDocument/2006/relationships/hyperlink" Target="https://neetcode.io/problems/duplicate-integer?list=neetcode150" TargetMode="External"/><Relationship Id="rId29" Type="http://schemas.openxmlformats.org/officeDocument/2006/relationships/hyperlink" Target="https://leetcode.com/problems/best-time-to-buy-and-sell-stock/" TargetMode="External"/><Relationship Id="rId255" Type="http://schemas.openxmlformats.org/officeDocument/2006/relationships/hyperlink" Target="https://leetcode.com/problems/partition-labels/" TargetMode="External"/><Relationship Id="rId276" Type="http://schemas.openxmlformats.org/officeDocument/2006/relationships/hyperlink" Target="https://neetcode.io/problems/set-zeroes-in-matrix?list=neetcode150" TargetMode="External"/><Relationship Id="rId297" Type="http://schemas.openxmlformats.org/officeDocument/2006/relationships/hyperlink" Target="https://leetcode.com/problems/sum-of-two-integers/" TargetMode="External"/><Relationship Id="rId40" Type="http://schemas.openxmlformats.org/officeDocument/2006/relationships/hyperlink" Target="https://neetcode.io/problems/sliding-window-maximum?list=neetcode150" TargetMode="External"/><Relationship Id="rId115" Type="http://schemas.openxmlformats.org/officeDocument/2006/relationships/hyperlink" Target="https://leetcode.com/problems/binary-tree-maximum-path-sum/" TargetMode="External"/><Relationship Id="rId136" Type="http://schemas.openxmlformats.org/officeDocument/2006/relationships/hyperlink" Target="https://neetcode.io/problems/combination-target-sum?list=neetcode150" TargetMode="External"/><Relationship Id="rId157" Type="http://schemas.openxmlformats.org/officeDocument/2006/relationships/hyperlink" Target="https://leetcode.com/problems/word-search-ii/" TargetMode="External"/><Relationship Id="rId178" Type="http://schemas.openxmlformats.org/officeDocument/2006/relationships/hyperlink" Target="https://neetcode.io/problems/valid-tree?list=neetcode150" TargetMode="External"/><Relationship Id="rId301" Type="http://schemas.openxmlformats.org/officeDocument/2006/relationships/vmlDrawing" Target="../drawings/vmlDrawing1.vml"/><Relationship Id="rId61" Type="http://schemas.openxmlformats.org/officeDocument/2006/relationships/hyperlink" Target="https://leetcode.com/problems/search-in-rotated-sorted-array/" TargetMode="External"/><Relationship Id="rId82" Type="http://schemas.openxmlformats.org/officeDocument/2006/relationships/hyperlink" Target="https://neetcode.io/problems/find-duplicate-integer?list=neetcode150" TargetMode="External"/><Relationship Id="rId199" Type="http://schemas.openxmlformats.org/officeDocument/2006/relationships/hyperlink" Target="https://leetcode.com/problems/min-cost-climbing-stairs/" TargetMode="External"/><Relationship Id="rId203" Type="http://schemas.openxmlformats.org/officeDocument/2006/relationships/hyperlink" Target="https://leetcode.com/problems/house-robber-ii/" TargetMode="External"/><Relationship Id="rId19" Type="http://schemas.openxmlformats.org/officeDocument/2006/relationships/hyperlink" Target="https://leetcode.com/problems/valid-palindrome/" TargetMode="External"/><Relationship Id="rId224" Type="http://schemas.openxmlformats.org/officeDocument/2006/relationships/hyperlink" Target="https://neetcode.io/problems/longest-common-subsequence?list=neetcode150" TargetMode="External"/><Relationship Id="rId245" Type="http://schemas.openxmlformats.org/officeDocument/2006/relationships/hyperlink" Target="https://leetcode.com/problems/jump-game/" TargetMode="External"/><Relationship Id="rId266" Type="http://schemas.openxmlformats.org/officeDocument/2006/relationships/hyperlink" Target="https://neetcode.io/problems/meeting-schedule?list=neetcode150" TargetMode="External"/><Relationship Id="rId287" Type="http://schemas.openxmlformats.org/officeDocument/2006/relationships/hyperlink" Target="https://leetcode.com/problems/single-number/" TargetMode="External"/><Relationship Id="rId30" Type="http://schemas.openxmlformats.org/officeDocument/2006/relationships/hyperlink" Target="https://neetcode.io/problems/buy-and-sell-crypto?list=neetcode150" TargetMode="External"/><Relationship Id="rId105" Type="http://schemas.openxmlformats.org/officeDocument/2006/relationships/hyperlink" Target="https://leetcode.com/problems/binary-tree-right-side-view/" TargetMode="External"/><Relationship Id="rId126" Type="http://schemas.openxmlformats.org/officeDocument/2006/relationships/hyperlink" Target="https://neetcode.io/problems/kth-largest-element-in-an-array?list=neetcode150" TargetMode="External"/><Relationship Id="rId147" Type="http://schemas.openxmlformats.org/officeDocument/2006/relationships/hyperlink" Target="https://leetcode.com/problems/palindrome-partitioning/" TargetMode="External"/><Relationship Id="rId168" Type="http://schemas.openxmlformats.org/officeDocument/2006/relationships/hyperlink" Target="https://neetcode.io/problems/rotting-fruit?list=neetcode150" TargetMode="External"/><Relationship Id="rId51" Type="http://schemas.openxmlformats.org/officeDocument/2006/relationships/hyperlink" Target="https://leetcode.com/problems/largest-rectangle-in-histogram/" TargetMode="External"/><Relationship Id="rId72" Type="http://schemas.openxmlformats.org/officeDocument/2006/relationships/hyperlink" Target="https://neetcode.io/problems/linked-list-cycle-detection?list=neetcode150" TargetMode="External"/><Relationship Id="rId93" Type="http://schemas.openxmlformats.org/officeDocument/2006/relationships/hyperlink" Target="https://leetcode.com/problems/diameter-of-binary-tree/" TargetMode="External"/><Relationship Id="rId189" Type="http://schemas.openxmlformats.org/officeDocument/2006/relationships/hyperlink" Target="https://leetcode.com/problems/min-cost-to-connect-all-points/" TargetMode="External"/><Relationship Id="rId3" Type="http://schemas.openxmlformats.org/officeDocument/2006/relationships/hyperlink" Target="https://leetcode.com/problems/valid-anagram/" TargetMode="External"/><Relationship Id="rId214" Type="http://schemas.openxmlformats.org/officeDocument/2006/relationships/hyperlink" Target="https://neetcode.io/problems/maximum-product-subarray?list=neetcode150" TargetMode="External"/><Relationship Id="rId235" Type="http://schemas.openxmlformats.org/officeDocument/2006/relationships/hyperlink" Target="https://leetcode.com/problems/distinct-subsequences/" TargetMode="External"/><Relationship Id="rId256" Type="http://schemas.openxmlformats.org/officeDocument/2006/relationships/hyperlink" Target="https://neetcode.io/problems/partition-labels?list=neetcode150" TargetMode="External"/><Relationship Id="rId277" Type="http://schemas.openxmlformats.org/officeDocument/2006/relationships/hyperlink" Target="https://leetcode.com/problems/happy-number/" TargetMode="External"/><Relationship Id="rId298" Type="http://schemas.openxmlformats.org/officeDocument/2006/relationships/hyperlink" Target="https://neetcode.io/problems/sum-of-two-integers?list=neetcode150" TargetMode="External"/><Relationship Id="rId116" Type="http://schemas.openxmlformats.org/officeDocument/2006/relationships/hyperlink" Target="https://neetcode.io/problems/binary-tree-maximum-path-sum?list=neetcode150" TargetMode="External"/><Relationship Id="rId137" Type="http://schemas.openxmlformats.org/officeDocument/2006/relationships/hyperlink" Target="https://leetcode.com/problems/combination-sum-ii/" TargetMode="External"/><Relationship Id="rId158" Type="http://schemas.openxmlformats.org/officeDocument/2006/relationships/hyperlink" Target="https://neetcode.io/problems/search-for-word-ii?list=neetcode150" TargetMode="External"/><Relationship Id="rId302" Type="http://schemas.openxmlformats.org/officeDocument/2006/relationships/comments" Target="../comments1.xml"/><Relationship Id="rId20" Type="http://schemas.openxmlformats.org/officeDocument/2006/relationships/hyperlink" Target="https://neetcode.io/problems/is-palindrome?list=neetcode150" TargetMode="External"/><Relationship Id="rId41" Type="http://schemas.openxmlformats.org/officeDocument/2006/relationships/hyperlink" Target="https://leetcode.com/problems/valid-parentheses/" TargetMode="External"/><Relationship Id="rId62" Type="http://schemas.openxmlformats.org/officeDocument/2006/relationships/hyperlink" Target="https://neetcode.io/problems/find-target-in-rotated-sorted-array?list=neetcode150" TargetMode="External"/><Relationship Id="rId83" Type="http://schemas.openxmlformats.org/officeDocument/2006/relationships/hyperlink" Target="https://leetcode.com/problems/lru-cache/" TargetMode="External"/><Relationship Id="rId179" Type="http://schemas.openxmlformats.org/officeDocument/2006/relationships/hyperlink" Target="https://leetcode.com/problems/number-of-connected-components-in-an-undirected-graph/" TargetMode="External"/><Relationship Id="rId190" Type="http://schemas.openxmlformats.org/officeDocument/2006/relationships/hyperlink" Target="https://neetcode.io/problems/min-cost-to-connect-points?list=neetcode150" TargetMode="External"/><Relationship Id="rId204" Type="http://schemas.openxmlformats.org/officeDocument/2006/relationships/hyperlink" Target="https://neetcode.io/problems/house-robber-ii?list=neetcode150" TargetMode="External"/><Relationship Id="rId225" Type="http://schemas.openxmlformats.org/officeDocument/2006/relationships/hyperlink" Target="https://leetcode.com/problems/best-time-to-buy-and-sell-stock-with-cooldown/" TargetMode="External"/><Relationship Id="rId246" Type="http://schemas.openxmlformats.org/officeDocument/2006/relationships/hyperlink" Target="https://neetcode.io/problems/jump-game?list=neetcode150" TargetMode="External"/><Relationship Id="rId267" Type="http://schemas.openxmlformats.org/officeDocument/2006/relationships/hyperlink" Target="https://leetcode.com/problems/meeting-rooms-ii/" TargetMode="External"/><Relationship Id="rId288" Type="http://schemas.openxmlformats.org/officeDocument/2006/relationships/hyperlink" Target="https://neetcode.io/problems/single-number?list=neetcode150" TargetMode="External"/><Relationship Id="rId106" Type="http://schemas.openxmlformats.org/officeDocument/2006/relationships/hyperlink" Target="https://neetcode.io/problems/binary-tree-right-side-view?list=neetcode150" TargetMode="External"/><Relationship Id="rId127" Type="http://schemas.openxmlformats.org/officeDocument/2006/relationships/hyperlink" Target="https://leetcode.com/problems/task-scheduler/" TargetMode="External"/><Relationship Id="rId10" Type="http://schemas.openxmlformats.org/officeDocument/2006/relationships/hyperlink" Target="https://neetcode.io/problems/top-k-elements-in-list?list=neetcode150" TargetMode="External"/><Relationship Id="rId31" Type="http://schemas.openxmlformats.org/officeDocument/2006/relationships/hyperlink" Target="https://leetcode.com/problems/longest-substring-without-repeating-characters/" TargetMode="External"/><Relationship Id="rId52" Type="http://schemas.openxmlformats.org/officeDocument/2006/relationships/hyperlink" Target="https://neetcode.io/problems/largest-rectangle-in-histogram?list=neetcode150" TargetMode="External"/><Relationship Id="rId73" Type="http://schemas.openxmlformats.org/officeDocument/2006/relationships/hyperlink" Target="https://leetcode.com/problems/reorder-list/" TargetMode="External"/><Relationship Id="rId94" Type="http://schemas.openxmlformats.org/officeDocument/2006/relationships/hyperlink" Target="https://neetcode.io/problems/binary-tree-diameter?list=neetcode150" TargetMode="External"/><Relationship Id="rId148" Type="http://schemas.openxmlformats.org/officeDocument/2006/relationships/hyperlink" Target="https://neetcode.io/problems/palindrome-partitioning?list=neetcode150" TargetMode="External"/><Relationship Id="rId169" Type="http://schemas.openxmlformats.org/officeDocument/2006/relationships/hyperlink" Target="https://leetcode.com/problems/pacific-atlantic-water-flow/" TargetMode="External"/><Relationship Id="rId4" Type="http://schemas.openxmlformats.org/officeDocument/2006/relationships/hyperlink" Target="https://neetcode.io/problems/is-anagram?list=neetcode150" TargetMode="External"/><Relationship Id="rId180" Type="http://schemas.openxmlformats.org/officeDocument/2006/relationships/hyperlink" Target="https://neetcode.io/problems/count-connected-components?list=neetcode150" TargetMode="External"/><Relationship Id="rId215" Type="http://schemas.openxmlformats.org/officeDocument/2006/relationships/hyperlink" Target="https://leetcode.com/problems/word-break/" TargetMode="External"/><Relationship Id="rId236" Type="http://schemas.openxmlformats.org/officeDocument/2006/relationships/hyperlink" Target="https://neetcode.io/problems/count-subsequences?list=neetcode150" TargetMode="External"/><Relationship Id="rId257" Type="http://schemas.openxmlformats.org/officeDocument/2006/relationships/hyperlink" Target="https://leetcode.com/problems/valid-parenthesis-string/" TargetMode="External"/><Relationship Id="rId278" Type="http://schemas.openxmlformats.org/officeDocument/2006/relationships/hyperlink" Target="https://neetcode.io/problems/non-cyclical-number?list=neetcode150" TargetMode="External"/><Relationship Id="rId42" Type="http://schemas.openxmlformats.org/officeDocument/2006/relationships/hyperlink" Target="https://neetcode.io/problems/validate-parentheses?list=neetcode150" TargetMode="External"/><Relationship Id="rId84" Type="http://schemas.openxmlformats.org/officeDocument/2006/relationships/hyperlink" Target="https://neetcode.io/problems/lru-cache?list=neetcode150" TargetMode="External"/><Relationship Id="rId138" Type="http://schemas.openxmlformats.org/officeDocument/2006/relationships/hyperlink" Target="https://neetcode.io/problems/combination-target-sum-ii?list=neetcode150" TargetMode="External"/><Relationship Id="rId191" Type="http://schemas.openxmlformats.org/officeDocument/2006/relationships/hyperlink" Target="https://leetcode.com/problems/swim-in-rising-water/" TargetMode="External"/><Relationship Id="rId205" Type="http://schemas.openxmlformats.org/officeDocument/2006/relationships/hyperlink" Target="https://leetcode.com/problems/longest-palindromic-substring/" TargetMode="External"/><Relationship Id="rId247" Type="http://schemas.openxmlformats.org/officeDocument/2006/relationships/hyperlink" Target="https://leetcode.com/problems/jump-game-ii/" TargetMode="External"/><Relationship Id="rId107" Type="http://schemas.openxmlformats.org/officeDocument/2006/relationships/hyperlink" Target="https://leetcode.com/problems/count-good-nodes-in-binary-tree/" TargetMode="External"/><Relationship Id="rId289" Type="http://schemas.openxmlformats.org/officeDocument/2006/relationships/hyperlink" Target="https://leetcode.com/problems/number-of-1-bits/" TargetMode="External"/><Relationship Id="rId11" Type="http://schemas.openxmlformats.org/officeDocument/2006/relationships/hyperlink" Target="https://leetcode.com/problems/encode-and-decode-strings/" TargetMode="External"/><Relationship Id="rId53" Type="http://schemas.openxmlformats.org/officeDocument/2006/relationships/hyperlink" Target="https://leetcode.com/problems/binary-search/" TargetMode="External"/><Relationship Id="rId149" Type="http://schemas.openxmlformats.org/officeDocument/2006/relationships/hyperlink" Target="https://leetcode.com/problems/letter-combinations-of-a-phone-number/" TargetMode="External"/><Relationship Id="rId95" Type="http://schemas.openxmlformats.org/officeDocument/2006/relationships/hyperlink" Target="https://leetcode.com/problems/balanced-binary-tree/" TargetMode="External"/><Relationship Id="rId160" Type="http://schemas.openxmlformats.org/officeDocument/2006/relationships/hyperlink" Target="https://neetcode.io/problems/count-number-of-islands?list=neetcode150" TargetMode="External"/><Relationship Id="rId216" Type="http://schemas.openxmlformats.org/officeDocument/2006/relationships/hyperlink" Target="https://neetcode.io/problems/word-break?list=neetcode150" TargetMode="External"/><Relationship Id="rId258" Type="http://schemas.openxmlformats.org/officeDocument/2006/relationships/hyperlink" Target="https://neetcode.io/problems/valid-parenthesis-string?list=neetcode150" TargetMode="External"/><Relationship Id="rId22" Type="http://schemas.openxmlformats.org/officeDocument/2006/relationships/hyperlink" Target="https://neetcode.io/problems/two-integer-sum-ii?list=neetcode150" TargetMode="External"/><Relationship Id="rId64" Type="http://schemas.openxmlformats.org/officeDocument/2006/relationships/hyperlink" Target="https://neetcode.io/problems/time-based-key-value-store?list=neetcode150" TargetMode="External"/><Relationship Id="rId118" Type="http://schemas.openxmlformats.org/officeDocument/2006/relationships/hyperlink" Target="https://neetcode.io/problems/serialize-and-deserialize-binary-tree?list=neetcode150" TargetMode="External"/><Relationship Id="rId171" Type="http://schemas.openxmlformats.org/officeDocument/2006/relationships/hyperlink" Target="https://leetcode.com/problems/surrounded-regions/" TargetMode="External"/><Relationship Id="rId227" Type="http://schemas.openxmlformats.org/officeDocument/2006/relationships/hyperlink" Target="https://leetcode.com/problems/coin-change-ii/" TargetMode="External"/><Relationship Id="rId269" Type="http://schemas.openxmlformats.org/officeDocument/2006/relationships/hyperlink" Target="https://leetcode.com/problems/minimum-interval-to-include-each-query/" TargetMode="External"/><Relationship Id="rId33" Type="http://schemas.openxmlformats.org/officeDocument/2006/relationships/hyperlink" Target="https://leetcode.com/problems/longest-repeating-character-replacement/" TargetMode="External"/><Relationship Id="rId129" Type="http://schemas.openxmlformats.org/officeDocument/2006/relationships/hyperlink" Target="https://leetcode.com/problems/design-twitter/" TargetMode="External"/><Relationship Id="rId280" Type="http://schemas.openxmlformats.org/officeDocument/2006/relationships/hyperlink" Target="https://neetcode.io/problems/plus-one?list=neetcode150" TargetMode="External"/><Relationship Id="rId75" Type="http://schemas.openxmlformats.org/officeDocument/2006/relationships/hyperlink" Target="https://leetcode.com/problems/remove-nth-node-from-end-of-list/" TargetMode="External"/><Relationship Id="rId140" Type="http://schemas.openxmlformats.org/officeDocument/2006/relationships/hyperlink" Target="https://neetcode.io/problems/permutations?list=neetcode150" TargetMode="External"/><Relationship Id="rId182" Type="http://schemas.openxmlformats.org/officeDocument/2006/relationships/hyperlink" Target="https://neetcode.io/problems/redundant-connection?list=neetcode150"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53"/>
  <sheetViews>
    <sheetView showGridLines="0" tabSelected="1" zoomScaleNormal="100" workbookViewId="0">
      <pane xSplit="2" ySplit="3" topLeftCell="C6" activePane="bottomRight" state="frozen"/>
      <selection pane="topRight" activeCell="C1" sqref="C1"/>
      <selection pane="bottomLeft" activeCell="A4" sqref="A4"/>
      <selection pane="bottomRight" activeCell="C155" sqref="C155"/>
    </sheetView>
  </sheetViews>
  <sheetFormatPr defaultColWidth="8.6328125" defaultRowHeight="14.5" x14ac:dyDescent="0.35"/>
  <cols>
    <col min="1" max="1" width="5" customWidth="1"/>
    <col min="2" max="2" width="16" customWidth="1"/>
    <col min="3" max="3" width="40" customWidth="1"/>
    <col min="4" max="4" width="10" customWidth="1"/>
    <col min="5" max="6" width="14" customWidth="1"/>
    <col min="7" max="7" width="13" customWidth="1"/>
    <col min="8" max="8" width="12" customWidth="1"/>
    <col min="9" max="9" width="14" customWidth="1"/>
    <col min="10" max="10" width="12" customWidth="1"/>
    <col min="11" max="11" width="26" customWidth="1"/>
    <col min="12" max="12" width="30" customWidth="1"/>
    <col min="13" max="14" width="12" customWidth="1"/>
    <col min="15" max="15" width="16" customWidth="1"/>
    <col min="16" max="16" width="11" customWidth="1"/>
    <col min="17" max="17" width="20" customWidth="1"/>
  </cols>
  <sheetData>
    <row r="1" spans="1:17" ht="25.5" customHeight="1" x14ac:dyDescent="0.35">
      <c r="A1" s="8" t="s">
        <v>0</v>
      </c>
      <c r="B1" s="8"/>
      <c r="C1" s="8"/>
      <c r="D1" s="8"/>
      <c r="E1" s="8"/>
      <c r="F1" s="8"/>
      <c r="G1" s="8"/>
      <c r="H1" s="8"/>
      <c r="I1" s="8"/>
      <c r="J1" s="8"/>
      <c r="K1" s="8"/>
      <c r="L1" s="8"/>
      <c r="M1" s="8"/>
      <c r="N1" s="8"/>
      <c r="O1" s="8"/>
      <c r="P1" s="8"/>
      <c r="Q1" s="8"/>
    </row>
    <row r="2" spans="1:17" ht="27.75" customHeight="1" x14ac:dyDescent="0.35">
      <c r="A2" s="7" t="s">
        <v>1</v>
      </c>
      <c r="B2" s="7"/>
      <c r="C2" s="7"/>
      <c r="D2" s="7"/>
      <c r="E2" s="7"/>
      <c r="F2" s="7"/>
      <c r="G2" s="7"/>
      <c r="H2" s="7"/>
      <c r="I2" s="7"/>
      <c r="J2" s="7"/>
      <c r="K2" s="7"/>
      <c r="L2" s="7"/>
      <c r="M2" s="7"/>
      <c r="N2" s="7"/>
      <c r="O2" s="7"/>
      <c r="P2" s="7"/>
      <c r="Q2" s="7"/>
    </row>
    <row r="3" spans="1:17" ht="39" x14ac:dyDescent="0.35">
      <c r="A3" s="9" t="s">
        <v>2</v>
      </c>
      <c r="B3" s="9" t="s">
        <v>3</v>
      </c>
      <c r="C3" s="9" t="s">
        <v>4</v>
      </c>
      <c r="D3" s="9" t="s">
        <v>5</v>
      </c>
      <c r="E3" s="9" t="s">
        <v>6</v>
      </c>
      <c r="F3" s="9" t="s">
        <v>7</v>
      </c>
      <c r="G3" s="9" t="s">
        <v>8</v>
      </c>
      <c r="H3" s="9" t="s">
        <v>9</v>
      </c>
      <c r="I3" s="9" t="s">
        <v>10</v>
      </c>
      <c r="J3" s="9" t="s">
        <v>11</v>
      </c>
      <c r="K3" s="9" t="s">
        <v>12</v>
      </c>
      <c r="L3" s="9" t="s">
        <v>13</v>
      </c>
      <c r="M3" s="9" t="s">
        <v>14</v>
      </c>
      <c r="N3" s="9" t="s">
        <v>15</v>
      </c>
      <c r="O3" s="9" t="s">
        <v>16</v>
      </c>
      <c r="P3" s="9" t="s">
        <v>17</v>
      </c>
      <c r="Q3" s="9" t="s">
        <v>18</v>
      </c>
    </row>
    <row r="4" spans="1:17" ht="37.5" hidden="1" x14ac:dyDescent="0.35">
      <c r="A4" s="10">
        <v>1</v>
      </c>
      <c r="B4" s="11" t="s">
        <v>19</v>
      </c>
      <c r="C4" s="11" t="s">
        <v>20</v>
      </c>
      <c r="D4" s="12" t="s">
        <v>21</v>
      </c>
      <c r="E4" s="13" t="s">
        <v>22</v>
      </c>
      <c r="F4" s="13" t="s">
        <v>23</v>
      </c>
      <c r="G4" s="14" t="s">
        <v>24</v>
      </c>
      <c r="H4" s="14">
        <v>14</v>
      </c>
      <c r="I4" s="14" t="s">
        <v>25</v>
      </c>
      <c r="J4" s="14" t="s">
        <v>26</v>
      </c>
      <c r="K4" s="14" t="s">
        <v>27</v>
      </c>
      <c r="L4" s="14" t="s">
        <v>240</v>
      </c>
      <c r="M4" s="14" t="s">
        <v>26</v>
      </c>
      <c r="N4" s="14"/>
      <c r="O4" s="14"/>
      <c r="P4" s="14">
        <v>5</v>
      </c>
      <c r="Q4" s="14" t="s">
        <v>28</v>
      </c>
    </row>
    <row r="5" spans="1:17" hidden="1" x14ac:dyDescent="0.35">
      <c r="A5" s="10">
        <v>2</v>
      </c>
      <c r="B5" s="11" t="s">
        <v>19</v>
      </c>
      <c r="C5" s="11" t="s">
        <v>29</v>
      </c>
      <c r="D5" s="12" t="s">
        <v>21</v>
      </c>
      <c r="E5" s="13" t="s">
        <v>22</v>
      </c>
      <c r="F5" s="13" t="s">
        <v>23</v>
      </c>
      <c r="G5" s="15"/>
      <c r="H5" s="15"/>
      <c r="I5" s="15"/>
      <c r="J5" s="15"/>
      <c r="K5" s="15"/>
      <c r="L5" s="15"/>
      <c r="M5" s="15"/>
      <c r="N5" s="15"/>
      <c r="O5" s="15"/>
      <c r="P5" s="15"/>
      <c r="Q5" s="15"/>
    </row>
    <row r="6" spans="1:17" x14ac:dyDescent="0.35">
      <c r="A6" s="10">
        <v>3</v>
      </c>
      <c r="B6" s="11" t="s">
        <v>19</v>
      </c>
      <c r="C6" s="11" t="s">
        <v>30</v>
      </c>
      <c r="D6" s="12" t="s">
        <v>21</v>
      </c>
      <c r="E6" s="13" t="s">
        <v>22</v>
      </c>
      <c r="F6" s="13" t="s">
        <v>23</v>
      </c>
      <c r="G6" s="30">
        <v>46241</v>
      </c>
      <c r="H6" s="15">
        <v>10</v>
      </c>
      <c r="I6" s="15" t="s">
        <v>26</v>
      </c>
      <c r="J6" s="15" t="s">
        <v>25</v>
      </c>
      <c r="K6" s="15"/>
      <c r="L6" s="15"/>
      <c r="M6" s="15" t="s">
        <v>25</v>
      </c>
      <c r="N6" s="15"/>
      <c r="O6" s="15"/>
      <c r="P6" s="15">
        <v>2</v>
      </c>
      <c r="Q6" s="15"/>
    </row>
    <row r="7" spans="1:17" hidden="1" x14ac:dyDescent="0.35">
      <c r="A7" s="10">
        <v>4</v>
      </c>
      <c r="B7" s="11" t="s">
        <v>19</v>
      </c>
      <c r="C7" s="11" t="s">
        <v>31</v>
      </c>
      <c r="D7" s="16" t="s">
        <v>32</v>
      </c>
      <c r="E7" s="13" t="s">
        <v>22</v>
      </c>
      <c r="F7" s="13" t="s">
        <v>23</v>
      </c>
      <c r="G7" s="15"/>
      <c r="H7" s="15"/>
      <c r="I7" s="15"/>
      <c r="J7" s="15"/>
      <c r="K7" s="15"/>
      <c r="L7" s="15"/>
      <c r="M7" s="15"/>
      <c r="N7" s="15"/>
      <c r="O7" s="15"/>
      <c r="P7" s="15"/>
      <c r="Q7" s="15"/>
    </row>
    <row r="8" spans="1:17" hidden="1" x14ac:dyDescent="0.35">
      <c r="A8" s="10">
        <v>5</v>
      </c>
      <c r="B8" s="11" t="s">
        <v>19</v>
      </c>
      <c r="C8" s="11" t="s">
        <v>33</v>
      </c>
      <c r="D8" s="16" t="s">
        <v>32</v>
      </c>
      <c r="E8" s="13" t="s">
        <v>22</v>
      </c>
      <c r="F8" s="13" t="s">
        <v>23</v>
      </c>
      <c r="G8" s="15"/>
      <c r="H8" s="15"/>
      <c r="I8" s="15"/>
      <c r="J8" s="15"/>
      <c r="K8" s="15"/>
      <c r="L8" s="15"/>
      <c r="M8" s="15"/>
      <c r="N8" s="15"/>
      <c r="O8" s="15"/>
      <c r="P8" s="15"/>
      <c r="Q8" s="15"/>
    </row>
    <row r="9" spans="1:17" hidden="1" x14ac:dyDescent="0.35">
      <c r="A9" s="10">
        <v>6</v>
      </c>
      <c r="B9" s="11" t="s">
        <v>19</v>
      </c>
      <c r="C9" s="11" t="s">
        <v>34</v>
      </c>
      <c r="D9" s="16" t="s">
        <v>32</v>
      </c>
      <c r="E9" s="13" t="s">
        <v>22</v>
      </c>
      <c r="F9" s="13" t="s">
        <v>23</v>
      </c>
      <c r="G9" s="15"/>
      <c r="H9" s="15"/>
      <c r="I9" s="15"/>
      <c r="J9" s="15"/>
      <c r="K9" s="15"/>
      <c r="L9" s="15"/>
      <c r="M9" s="15"/>
      <c r="N9" s="15"/>
      <c r="O9" s="15"/>
      <c r="P9" s="15"/>
      <c r="Q9" s="15"/>
    </row>
    <row r="10" spans="1:17" hidden="1" x14ac:dyDescent="0.35">
      <c r="A10" s="10">
        <v>7</v>
      </c>
      <c r="B10" s="11" t="s">
        <v>19</v>
      </c>
      <c r="C10" s="11" t="s">
        <v>35</v>
      </c>
      <c r="D10" s="16" t="s">
        <v>32</v>
      </c>
      <c r="E10" s="13" t="s">
        <v>22</v>
      </c>
      <c r="F10" s="13" t="s">
        <v>23</v>
      </c>
      <c r="G10" s="15"/>
      <c r="H10" s="15"/>
      <c r="I10" s="15"/>
      <c r="J10" s="15"/>
      <c r="K10" s="15"/>
      <c r="L10" s="15"/>
      <c r="M10" s="15"/>
      <c r="N10" s="15"/>
      <c r="O10" s="15"/>
      <c r="P10" s="15"/>
      <c r="Q10" s="15"/>
    </row>
    <row r="11" spans="1:17" hidden="1" x14ac:dyDescent="0.35">
      <c r="A11" s="10">
        <v>8</v>
      </c>
      <c r="B11" s="11" t="s">
        <v>19</v>
      </c>
      <c r="C11" s="11" t="s">
        <v>36</v>
      </c>
      <c r="D11" s="16" t="s">
        <v>32</v>
      </c>
      <c r="E11" s="13" t="s">
        <v>22</v>
      </c>
      <c r="F11" s="13" t="s">
        <v>23</v>
      </c>
      <c r="G11" s="15"/>
      <c r="H11" s="15"/>
      <c r="I11" s="15"/>
      <c r="J11" s="15"/>
      <c r="K11" s="15"/>
      <c r="L11" s="15"/>
      <c r="M11" s="15"/>
      <c r="N11" s="15"/>
      <c r="O11" s="15"/>
      <c r="P11" s="15"/>
      <c r="Q11" s="15"/>
    </row>
    <row r="12" spans="1:17" hidden="1" x14ac:dyDescent="0.35">
      <c r="A12" s="10">
        <v>9</v>
      </c>
      <c r="B12" s="11" t="s">
        <v>19</v>
      </c>
      <c r="C12" s="11" t="s">
        <v>37</v>
      </c>
      <c r="D12" s="16" t="s">
        <v>32</v>
      </c>
      <c r="E12" s="13" t="s">
        <v>22</v>
      </c>
      <c r="F12" s="13" t="s">
        <v>23</v>
      </c>
      <c r="G12" s="15"/>
      <c r="H12" s="15"/>
      <c r="I12" s="15"/>
      <c r="J12" s="15"/>
      <c r="K12" s="15"/>
      <c r="L12" s="15"/>
      <c r="M12" s="15"/>
      <c r="N12" s="15"/>
      <c r="O12" s="15"/>
      <c r="P12" s="15"/>
      <c r="Q12" s="15"/>
    </row>
    <row r="13" spans="1:17" hidden="1" x14ac:dyDescent="0.35">
      <c r="A13" s="10">
        <v>10</v>
      </c>
      <c r="B13" s="11" t="s">
        <v>38</v>
      </c>
      <c r="C13" s="11" t="s">
        <v>39</v>
      </c>
      <c r="D13" s="12" t="s">
        <v>21</v>
      </c>
      <c r="E13" s="13" t="s">
        <v>22</v>
      </c>
      <c r="F13" s="13" t="s">
        <v>23</v>
      </c>
      <c r="G13" s="15"/>
      <c r="H13" s="15"/>
      <c r="I13" s="15"/>
      <c r="J13" s="15"/>
      <c r="K13" s="15"/>
      <c r="L13" s="15"/>
      <c r="M13" s="15"/>
      <c r="N13" s="15"/>
      <c r="O13" s="15"/>
      <c r="P13" s="15"/>
      <c r="Q13" s="15"/>
    </row>
    <row r="14" spans="1:17" hidden="1" x14ac:dyDescent="0.35">
      <c r="A14" s="10">
        <v>11</v>
      </c>
      <c r="B14" s="11" t="s">
        <v>38</v>
      </c>
      <c r="C14" s="11" t="s">
        <v>40</v>
      </c>
      <c r="D14" s="16" t="s">
        <v>32</v>
      </c>
      <c r="E14" s="13" t="s">
        <v>22</v>
      </c>
      <c r="F14" s="13" t="s">
        <v>23</v>
      </c>
      <c r="G14" s="15"/>
      <c r="H14" s="15"/>
      <c r="I14" s="15"/>
      <c r="J14" s="15"/>
      <c r="K14" s="15"/>
      <c r="L14" s="15"/>
      <c r="M14" s="15"/>
      <c r="N14" s="15"/>
      <c r="O14" s="15"/>
      <c r="P14" s="15"/>
      <c r="Q14" s="15"/>
    </row>
    <row r="15" spans="1:17" hidden="1" x14ac:dyDescent="0.35">
      <c r="A15" s="10">
        <v>12</v>
      </c>
      <c r="B15" s="11" t="s">
        <v>38</v>
      </c>
      <c r="C15" s="11" t="s">
        <v>41</v>
      </c>
      <c r="D15" s="16" t="s">
        <v>32</v>
      </c>
      <c r="E15" s="13" t="s">
        <v>22</v>
      </c>
      <c r="F15" s="13" t="s">
        <v>23</v>
      </c>
      <c r="G15" s="15"/>
      <c r="H15" s="15"/>
      <c r="I15" s="15"/>
      <c r="J15" s="15"/>
      <c r="K15" s="15"/>
      <c r="L15" s="15"/>
      <c r="M15" s="15"/>
      <c r="N15" s="15"/>
      <c r="O15" s="15"/>
      <c r="P15" s="15"/>
      <c r="Q15" s="15"/>
    </row>
    <row r="16" spans="1:17" hidden="1" x14ac:dyDescent="0.35">
      <c r="A16" s="10">
        <v>13</v>
      </c>
      <c r="B16" s="11" t="s">
        <v>38</v>
      </c>
      <c r="C16" s="11" t="s">
        <v>42</v>
      </c>
      <c r="D16" s="16" t="s">
        <v>32</v>
      </c>
      <c r="E16" s="13" t="s">
        <v>22</v>
      </c>
      <c r="F16" s="13" t="s">
        <v>23</v>
      </c>
      <c r="G16" s="15"/>
      <c r="H16" s="15"/>
      <c r="I16" s="15"/>
      <c r="J16" s="15"/>
      <c r="K16" s="15"/>
      <c r="L16" s="15"/>
      <c r="M16" s="15"/>
      <c r="N16" s="15"/>
      <c r="O16" s="15"/>
      <c r="P16" s="15"/>
      <c r="Q16" s="15"/>
    </row>
    <row r="17" spans="1:17" hidden="1" x14ac:dyDescent="0.35">
      <c r="A17" s="10">
        <v>14</v>
      </c>
      <c r="B17" s="11" t="s">
        <v>38</v>
      </c>
      <c r="C17" s="11" t="s">
        <v>43</v>
      </c>
      <c r="D17" s="17" t="s">
        <v>44</v>
      </c>
      <c r="E17" s="13" t="s">
        <v>22</v>
      </c>
      <c r="F17" s="13" t="s">
        <v>23</v>
      </c>
      <c r="G17" s="15"/>
      <c r="H17" s="15"/>
      <c r="I17" s="15"/>
      <c r="J17" s="15"/>
      <c r="K17" s="15"/>
      <c r="L17" s="15"/>
      <c r="M17" s="15"/>
      <c r="N17" s="15"/>
      <c r="O17" s="15"/>
      <c r="P17" s="15"/>
      <c r="Q17" s="15"/>
    </row>
    <row r="18" spans="1:17" hidden="1" x14ac:dyDescent="0.35">
      <c r="A18" s="10">
        <v>15</v>
      </c>
      <c r="B18" s="11" t="s">
        <v>45</v>
      </c>
      <c r="C18" s="11" t="s">
        <v>46</v>
      </c>
      <c r="D18" s="12" t="s">
        <v>21</v>
      </c>
      <c r="E18" s="13" t="s">
        <v>22</v>
      </c>
      <c r="F18" s="13" t="s">
        <v>23</v>
      </c>
      <c r="G18" s="15"/>
      <c r="H18" s="15"/>
      <c r="I18" s="15"/>
      <c r="J18" s="15"/>
      <c r="K18" s="15"/>
      <c r="L18" s="15"/>
      <c r="M18" s="15"/>
      <c r="N18" s="15"/>
      <c r="O18" s="15"/>
      <c r="P18" s="15"/>
      <c r="Q18" s="15"/>
    </row>
    <row r="19" spans="1:17" ht="25" hidden="1" x14ac:dyDescent="0.35">
      <c r="A19" s="10">
        <v>16</v>
      </c>
      <c r="B19" s="11" t="s">
        <v>45</v>
      </c>
      <c r="C19" s="11" t="s">
        <v>47</v>
      </c>
      <c r="D19" s="16" t="s">
        <v>32</v>
      </c>
      <c r="E19" s="13" t="s">
        <v>22</v>
      </c>
      <c r="F19" s="13" t="s">
        <v>23</v>
      </c>
      <c r="G19" s="15"/>
      <c r="H19" s="15"/>
      <c r="I19" s="15"/>
      <c r="J19" s="15"/>
      <c r="K19" s="15"/>
      <c r="L19" s="15"/>
      <c r="M19" s="15"/>
      <c r="N19" s="15"/>
      <c r="O19" s="15"/>
      <c r="P19" s="15"/>
      <c r="Q19" s="15"/>
    </row>
    <row r="20" spans="1:17" hidden="1" x14ac:dyDescent="0.35">
      <c r="A20" s="10">
        <v>17</v>
      </c>
      <c r="B20" s="11" t="s">
        <v>45</v>
      </c>
      <c r="C20" s="11" t="s">
        <v>48</v>
      </c>
      <c r="D20" s="16" t="s">
        <v>32</v>
      </c>
      <c r="E20" s="13" t="s">
        <v>22</v>
      </c>
      <c r="F20" s="13" t="s">
        <v>23</v>
      </c>
      <c r="G20" s="15"/>
      <c r="H20" s="15"/>
      <c r="I20" s="15"/>
      <c r="J20" s="15"/>
      <c r="K20" s="15"/>
      <c r="L20" s="15"/>
      <c r="M20" s="15"/>
      <c r="N20" s="15"/>
      <c r="O20" s="15"/>
      <c r="P20" s="15"/>
      <c r="Q20" s="15"/>
    </row>
    <row r="21" spans="1:17" hidden="1" x14ac:dyDescent="0.35">
      <c r="A21" s="10">
        <v>18</v>
      </c>
      <c r="B21" s="11" t="s">
        <v>45</v>
      </c>
      <c r="C21" s="11" t="s">
        <v>49</v>
      </c>
      <c r="D21" s="16" t="s">
        <v>32</v>
      </c>
      <c r="E21" s="13" t="s">
        <v>22</v>
      </c>
      <c r="F21" s="13" t="s">
        <v>23</v>
      </c>
      <c r="G21" s="15"/>
      <c r="H21" s="15"/>
      <c r="I21" s="15"/>
      <c r="J21" s="15"/>
      <c r="K21" s="15"/>
      <c r="L21" s="15"/>
      <c r="M21" s="15"/>
      <c r="N21" s="15"/>
      <c r="O21" s="15"/>
      <c r="P21" s="15"/>
      <c r="Q21" s="15"/>
    </row>
    <row r="22" spans="1:17" hidden="1" x14ac:dyDescent="0.35">
      <c r="A22" s="10">
        <v>19</v>
      </c>
      <c r="B22" s="11" t="s">
        <v>45</v>
      </c>
      <c r="C22" s="11" t="s">
        <v>50</v>
      </c>
      <c r="D22" s="17" t="s">
        <v>44</v>
      </c>
      <c r="E22" s="13" t="s">
        <v>22</v>
      </c>
      <c r="F22" s="13" t="s">
        <v>23</v>
      </c>
      <c r="G22" s="15"/>
      <c r="H22" s="15"/>
      <c r="I22" s="15"/>
      <c r="J22" s="15"/>
      <c r="K22" s="15"/>
      <c r="L22" s="15"/>
      <c r="M22" s="15"/>
      <c r="N22" s="15"/>
      <c r="O22" s="15"/>
      <c r="P22" s="15"/>
      <c r="Q22" s="15"/>
    </row>
    <row r="23" spans="1:17" hidden="1" x14ac:dyDescent="0.35">
      <c r="A23" s="10">
        <v>20</v>
      </c>
      <c r="B23" s="11" t="s">
        <v>45</v>
      </c>
      <c r="C23" s="11" t="s">
        <v>51</v>
      </c>
      <c r="D23" s="17" t="s">
        <v>44</v>
      </c>
      <c r="E23" s="13" t="s">
        <v>22</v>
      </c>
      <c r="F23" s="13" t="s">
        <v>23</v>
      </c>
      <c r="G23" s="15"/>
      <c r="H23" s="15"/>
      <c r="I23" s="15"/>
      <c r="J23" s="15"/>
      <c r="K23" s="15"/>
      <c r="L23" s="15"/>
      <c r="M23" s="15"/>
      <c r="N23" s="15"/>
      <c r="O23" s="15"/>
      <c r="P23" s="15"/>
      <c r="Q23" s="15"/>
    </row>
    <row r="24" spans="1:17" x14ac:dyDescent="0.35">
      <c r="A24" s="10">
        <v>21</v>
      </c>
      <c r="B24" s="11" t="s">
        <v>52</v>
      </c>
      <c r="C24" s="11" t="s">
        <v>53</v>
      </c>
      <c r="D24" s="12" t="s">
        <v>21</v>
      </c>
      <c r="E24" s="13" t="s">
        <v>22</v>
      </c>
      <c r="F24" s="13" t="s">
        <v>23</v>
      </c>
      <c r="G24" s="30">
        <v>46211</v>
      </c>
      <c r="H24" s="15">
        <v>30</v>
      </c>
      <c r="I24" s="15" t="s">
        <v>26</v>
      </c>
      <c r="J24" s="15" t="s">
        <v>25</v>
      </c>
      <c r="K24" s="15"/>
      <c r="L24" s="15"/>
      <c r="M24" s="15" t="s">
        <v>25</v>
      </c>
      <c r="N24" s="15"/>
      <c r="O24" s="15"/>
      <c r="P24" s="15">
        <v>2</v>
      </c>
      <c r="Q24" s="15"/>
    </row>
    <row r="25" spans="1:17" hidden="1" x14ac:dyDescent="0.35">
      <c r="A25" s="10">
        <v>22</v>
      </c>
      <c r="B25" s="11" t="s">
        <v>52</v>
      </c>
      <c r="C25" s="11" t="s">
        <v>54</v>
      </c>
      <c r="D25" s="16" t="s">
        <v>32</v>
      </c>
      <c r="E25" s="13" t="s">
        <v>22</v>
      </c>
      <c r="F25" s="13" t="s">
        <v>23</v>
      </c>
      <c r="G25" s="15"/>
      <c r="H25" s="15"/>
      <c r="I25" s="15"/>
      <c r="J25" s="15"/>
      <c r="K25" s="15"/>
      <c r="L25" s="15"/>
      <c r="M25" s="15"/>
      <c r="N25" s="15"/>
      <c r="O25" s="15"/>
      <c r="P25" s="15"/>
      <c r="Q25" s="15"/>
    </row>
    <row r="26" spans="1:17" hidden="1" x14ac:dyDescent="0.35">
      <c r="A26" s="10">
        <v>23</v>
      </c>
      <c r="B26" s="11" t="s">
        <v>52</v>
      </c>
      <c r="C26" s="11" t="s">
        <v>55</v>
      </c>
      <c r="D26" s="16" t="s">
        <v>32</v>
      </c>
      <c r="E26" s="13" t="s">
        <v>22</v>
      </c>
      <c r="F26" s="13" t="s">
        <v>23</v>
      </c>
      <c r="G26" s="15"/>
      <c r="H26" s="15"/>
      <c r="I26" s="15"/>
      <c r="J26" s="15"/>
      <c r="K26" s="15"/>
      <c r="L26" s="15"/>
      <c r="M26" s="15"/>
      <c r="N26" s="15"/>
      <c r="O26" s="15"/>
      <c r="P26" s="15"/>
      <c r="Q26" s="15"/>
    </row>
    <row r="27" spans="1:17" hidden="1" x14ac:dyDescent="0.35">
      <c r="A27" s="10">
        <v>24</v>
      </c>
      <c r="B27" s="11" t="s">
        <v>52</v>
      </c>
      <c r="C27" s="11" t="s">
        <v>56</v>
      </c>
      <c r="D27" s="16" t="s">
        <v>32</v>
      </c>
      <c r="E27" s="13" t="s">
        <v>22</v>
      </c>
      <c r="F27" s="13" t="s">
        <v>23</v>
      </c>
      <c r="G27" s="15"/>
      <c r="H27" s="15"/>
      <c r="I27" s="15"/>
      <c r="J27" s="15"/>
      <c r="K27" s="15"/>
      <c r="L27" s="15"/>
      <c r="M27" s="15"/>
      <c r="N27" s="15"/>
      <c r="O27" s="15"/>
      <c r="P27" s="15"/>
      <c r="Q27" s="15"/>
    </row>
    <row r="28" spans="1:17" hidden="1" x14ac:dyDescent="0.35">
      <c r="A28" s="10">
        <v>25</v>
      </c>
      <c r="B28" s="11" t="s">
        <v>52</v>
      </c>
      <c r="C28" s="11" t="s">
        <v>57</v>
      </c>
      <c r="D28" s="16" t="s">
        <v>32</v>
      </c>
      <c r="E28" s="13" t="s">
        <v>22</v>
      </c>
      <c r="F28" s="13" t="s">
        <v>23</v>
      </c>
      <c r="G28" s="15"/>
      <c r="H28" s="15"/>
      <c r="I28" s="15"/>
      <c r="J28" s="15"/>
      <c r="K28" s="15"/>
      <c r="L28" s="15"/>
      <c r="M28" s="15"/>
      <c r="N28" s="15"/>
      <c r="O28" s="15"/>
      <c r="P28" s="15"/>
      <c r="Q28" s="15"/>
    </row>
    <row r="29" spans="1:17" hidden="1" x14ac:dyDescent="0.35">
      <c r="A29" s="10">
        <v>26</v>
      </c>
      <c r="B29" s="11" t="s">
        <v>52</v>
      </c>
      <c r="C29" s="11" t="s">
        <v>58</v>
      </c>
      <c r="D29" s="17" t="s">
        <v>44</v>
      </c>
      <c r="E29" s="13" t="s">
        <v>22</v>
      </c>
      <c r="F29" s="13" t="s">
        <v>23</v>
      </c>
      <c r="G29" s="15"/>
      <c r="H29" s="15"/>
      <c r="I29" s="15"/>
      <c r="J29" s="15"/>
      <c r="K29" s="15"/>
      <c r="L29" s="15"/>
      <c r="M29" s="15"/>
      <c r="N29" s="15"/>
      <c r="O29" s="15"/>
      <c r="P29" s="15"/>
      <c r="Q29" s="15"/>
    </row>
    <row r="30" spans="1:17" x14ac:dyDescent="0.35">
      <c r="A30" s="10">
        <v>27</v>
      </c>
      <c r="B30" s="11" t="s">
        <v>59</v>
      </c>
      <c r="C30" s="11" t="s">
        <v>59</v>
      </c>
      <c r="D30" s="12" t="s">
        <v>21</v>
      </c>
      <c r="E30" s="13" t="s">
        <v>22</v>
      </c>
      <c r="F30" s="13" t="s">
        <v>23</v>
      </c>
      <c r="G30" s="30">
        <v>46241</v>
      </c>
      <c r="H30" s="15">
        <v>20</v>
      </c>
      <c r="I30" s="15" t="s">
        <v>26</v>
      </c>
      <c r="J30" s="15" t="s">
        <v>25</v>
      </c>
      <c r="K30" s="15"/>
      <c r="L30" s="15"/>
      <c r="M30" s="15" t="s">
        <v>25</v>
      </c>
      <c r="N30" s="15"/>
      <c r="O30" s="15"/>
      <c r="P30" s="15">
        <v>2</v>
      </c>
      <c r="Q30" s="15"/>
    </row>
    <row r="31" spans="1:17" hidden="1" x14ac:dyDescent="0.35">
      <c r="A31" s="10">
        <v>28</v>
      </c>
      <c r="B31" s="11" t="s">
        <v>59</v>
      </c>
      <c r="C31" s="11" t="s">
        <v>60</v>
      </c>
      <c r="D31" s="16" t="s">
        <v>32</v>
      </c>
      <c r="E31" s="13" t="s">
        <v>22</v>
      </c>
      <c r="F31" s="13" t="s">
        <v>23</v>
      </c>
      <c r="G31" s="15"/>
      <c r="H31" s="15"/>
      <c r="I31" s="15"/>
      <c r="J31" s="15"/>
      <c r="K31" s="15"/>
      <c r="L31" s="15"/>
      <c r="M31" s="15"/>
      <c r="N31" s="15"/>
      <c r="O31" s="15"/>
      <c r="P31" s="15"/>
      <c r="Q31" s="15"/>
    </row>
    <row r="32" spans="1:17" hidden="1" x14ac:dyDescent="0.35">
      <c r="A32" s="10">
        <v>29</v>
      </c>
      <c r="B32" s="11" t="s">
        <v>59</v>
      </c>
      <c r="C32" s="11" t="s">
        <v>61</v>
      </c>
      <c r="D32" s="16" t="s">
        <v>32</v>
      </c>
      <c r="E32" s="13" t="s">
        <v>22</v>
      </c>
      <c r="F32" s="13" t="s">
        <v>23</v>
      </c>
      <c r="G32" s="15"/>
      <c r="H32" s="15"/>
      <c r="I32" s="15"/>
      <c r="J32" s="15"/>
      <c r="K32" s="15"/>
      <c r="L32" s="15"/>
      <c r="M32" s="15"/>
      <c r="N32" s="15"/>
      <c r="O32" s="15"/>
      <c r="P32" s="15"/>
      <c r="Q32" s="15"/>
    </row>
    <row r="33" spans="1:17" hidden="1" x14ac:dyDescent="0.35">
      <c r="A33" s="10">
        <v>30</v>
      </c>
      <c r="B33" s="11" t="s">
        <v>59</v>
      </c>
      <c r="C33" s="11" t="s">
        <v>62</v>
      </c>
      <c r="D33" s="16" t="s">
        <v>32</v>
      </c>
      <c r="E33" s="13" t="s">
        <v>22</v>
      </c>
      <c r="F33" s="13" t="s">
        <v>23</v>
      </c>
      <c r="G33" s="15"/>
      <c r="H33" s="15"/>
      <c r="I33" s="15"/>
      <c r="J33" s="15"/>
      <c r="K33" s="15"/>
      <c r="L33" s="15"/>
      <c r="M33" s="15"/>
      <c r="N33" s="15"/>
      <c r="O33" s="15"/>
      <c r="P33" s="15"/>
      <c r="Q33" s="15"/>
    </row>
    <row r="34" spans="1:17" hidden="1" x14ac:dyDescent="0.35">
      <c r="A34" s="10">
        <v>31</v>
      </c>
      <c r="B34" s="11" t="s">
        <v>59</v>
      </c>
      <c r="C34" s="11" t="s">
        <v>63</v>
      </c>
      <c r="D34" s="16" t="s">
        <v>32</v>
      </c>
      <c r="E34" s="13" t="s">
        <v>22</v>
      </c>
      <c r="F34" s="13" t="s">
        <v>23</v>
      </c>
      <c r="G34" s="15"/>
      <c r="H34" s="15"/>
      <c r="I34" s="15"/>
      <c r="J34" s="15"/>
      <c r="K34" s="15"/>
      <c r="L34" s="15"/>
      <c r="M34" s="15"/>
      <c r="N34" s="15"/>
      <c r="O34" s="15"/>
      <c r="P34" s="15"/>
      <c r="Q34" s="15"/>
    </row>
    <row r="35" spans="1:17" hidden="1" x14ac:dyDescent="0.35">
      <c r="A35" s="10">
        <v>32</v>
      </c>
      <c r="B35" s="11" t="s">
        <v>59</v>
      </c>
      <c r="C35" s="11" t="s">
        <v>64</v>
      </c>
      <c r="D35" s="16" t="s">
        <v>32</v>
      </c>
      <c r="E35" s="13" t="s">
        <v>22</v>
      </c>
      <c r="F35" s="13" t="s">
        <v>23</v>
      </c>
      <c r="G35" s="15"/>
      <c r="H35" s="15"/>
      <c r="I35" s="15"/>
      <c r="J35" s="15"/>
      <c r="K35" s="15"/>
      <c r="L35" s="15"/>
      <c r="M35" s="15"/>
      <c r="N35" s="15"/>
      <c r="O35" s="15"/>
      <c r="P35" s="15"/>
      <c r="Q35" s="15"/>
    </row>
    <row r="36" spans="1:17" hidden="1" x14ac:dyDescent="0.35">
      <c r="A36" s="10">
        <v>33</v>
      </c>
      <c r="B36" s="11" t="s">
        <v>59</v>
      </c>
      <c r="C36" s="11" t="s">
        <v>65</v>
      </c>
      <c r="D36" s="17" t="s">
        <v>44</v>
      </c>
      <c r="E36" s="13" t="s">
        <v>22</v>
      </c>
      <c r="F36" s="13" t="s">
        <v>23</v>
      </c>
      <c r="G36" s="15"/>
      <c r="H36" s="15"/>
      <c r="I36" s="15"/>
      <c r="J36" s="15"/>
      <c r="K36" s="15"/>
      <c r="L36" s="15"/>
      <c r="M36" s="15"/>
      <c r="N36" s="15"/>
      <c r="O36" s="15"/>
      <c r="P36" s="15"/>
      <c r="Q36" s="15"/>
    </row>
    <row r="37" spans="1:17" x14ac:dyDescent="0.35">
      <c r="A37" s="10">
        <v>34</v>
      </c>
      <c r="B37" s="11" t="s">
        <v>66</v>
      </c>
      <c r="C37" s="11" t="s">
        <v>67</v>
      </c>
      <c r="D37" s="12" t="s">
        <v>21</v>
      </c>
      <c r="E37" s="13" t="s">
        <v>22</v>
      </c>
      <c r="F37" s="13" t="s">
        <v>23</v>
      </c>
      <c r="G37" s="30">
        <v>46241</v>
      </c>
      <c r="H37" s="15">
        <v>30</v>
      </c>
      <c r="I37" s="15" t="s">
        <v>26</v>
      </c>
      <c r="J37" s="15" t="s">
        <v>25</v>
      </c>
      <c r="K37" s="15"/>
      <c r="L37" s="15"/>
      <c r="M37" s="15" t="s">
        <v>25</v>
      </c>
      <c r="N37" s="15"/>
      <c r="O37" s="15"/>
      <c r="P37" s="15">
        <v>2</v>
      </c>
      <c r="Q37" s="15"/>
    </row>
    <row r="38" spans="1:17" x14ac:dyDescent="0.35">
      <c r="A38" s="10">
        <v>35</v>
      </c>
      <c r="B38" s="11" t="s">
        <v>66</v>
      </c>
      <c r="C38" s="11" t="s">
        <v>68</v>
      </c>
      <c r="D38" s="12" t="s">
        <v>21</v>
      </c>
      <c r="E38" s="13" t="s">
        <v>22</v>
      </c>
      <c r="F38" s="13" t="s">
        <v>23</v>
      </c>
      <c r="G38" s="30">
        <v>46241</v>
      </c>
      <c r="H38" s="15">
        <v>30</v>
      </c>
      <c r="I38" s="15" t="s">
        <v>26</v>
      </c>
      <c r="J38" s="15" t="s">
        <v>25</v>
      </c>
      <c r="K38" s="15"/>
      <c r="L38" s="15"/>
      <c r="M38" s="15" t="s">
        <v>25</v>
      </c>
      <c r="N38" s="15"/>
      <c r="O38" s="15"/>
      <c r="P38" s="15">
        <v>2</v>
      </c>
      <c r="Q38" s="15"/>
    </row>
    <row r="39" spans="1:17" x14ac:dyDescent="0.35">
      <c r="A39" s="10">
        <v>36</v>
      </c>
      <c r="B39" s="11" t="s">
        <v>66</v>
      </c>
      <c r="C39" s="11" t="s">
        <v>69</v>
      </c>
      <c r="D39" s="12" t="s">
        <v>21</v>
      </c>
      <c r="E39" s="13" t="s">
        <v>22</v>
      </c>
      <c r="F39" s="13" t="s">
        <v>23</v>
      </c>
      <c r="G39" s="30">
        <v>46241</v>
      </c>
      <c r="H39" s="15">
        <v>30</v>
      </c>
      <c r="I39" s="15" t="s">
        <v>26</v>
      </c>
      <c r="J39" s="15" t="s">
        <v>25</v>
      </c>
      <c r="K39" s="15"/>
      <c r="L39" s="15"/>
      <c r="M39" s="15" t="s">
        <v>25</v>
      </c>
      <c r="N39" s="15"/>
      <c r="O39" s="15"/>
      <c r="P39" s="15">
        <v>2</v>
      </c>
      <c r="Q39" s="15"/>
    </row>
    <row r="40" spans="1:17" hidden="1" x14ac:dyDescent="0.35">
      <c r="A40" s="10">
        <v>37</v>
      </c>
      <c r="B40" s="11" t="s">
        <v>66</v>
      </c>
      <c r="C40" s="11" t="s">
        <v>70</v>
      </c>
      <c r="D40" s="16" t="s">
        <v>32</v>
      </c>
      <c r="E40" s="13" t="s">
        <v>22</v>
      </c>
      <c r="F40" s="13" t="s">
        <v>23</v>
      </c>
      <c r="G40" s="15"/>
      <c r="H40" s="15"/>
      <c r="I40" s="15"/>
      <c r="J40" s="15"/>
      <c r="K40" s="15"/>
      <c r="L40" s="15"/>
      <c r="M40" s="15"/>
      <c r="N40" s="15"/>
      <c r="O40" s="15"/>
      <c r="P40" s="15"/>
      <c r="Q40" s="15"/>
    </row>
    <row r="41" spans="1:17" hidden="1" x14ac:dyDescent="0.35">
      <c r="A41" s="10">
        <v>38</v>
      </c>
      <c r="B41" s="11" t="s">
        <v>66</v>
      </c>
      <c r="C41" s="11" t="s">
        <v>71</v>
      </c>
      <c r="D41" s="16" t="s">
        <v>32</v>
      </c>
      <c r="E41" s="13" t="s">
        <v>22</v>
      </c>
      <c r="F41" s="13" t="s">
        <v>23</v>
      </c>
      <c r="G41" s="15"/>
      <c r="H41" s="15"/>
      <c r="I41" s="15"/>
      <c r="J41" s="15"/>
      <c r="K41" s="15"/>
      <c r="L41" s="15"/>
      <c r="M41" s="15"/>
      <c r="N41" s="15"/>
      <c r="O41" s="15"/>
      <c r="P41" s="15"/>
      <c r="Q41" s="15"/>
    </row>
    <row r="42" spans="1:17" hidden="1" x14ac:dyDescent="0.35">
      <c r="A42" s="10">
        <v>39</v>
      </c>
      <c r="B42" s="11" t="s">
        <v>66</v>
      </c>
      <c r="C42" s="11" t="s">
        <v>72</v>
      </c>
      <c r="D42" s="16" t="s">
        <v>32</v>
      </c>
      <c r="E42" s="13" t="s">
        <v>22</v>
      </c>
      <c r="F42" s="13" t="s">
        <v>23</v>
      </c>
      <c r="G42" s="15"/>
      <c r="H42" s="15"/>
      <c r="I42" s="15"/>
      <c r="J42" s="15"/>
      <c r="K42" s="15"/>
      <c r="L42" s="15"/>
      <c r="M42" s="15"/>
      <c r="N42" s="15"/>
      <c r="O42" s="15"/>
      <c r="P42" s="15"/>
      <c r="Q42" s="15"/>
    </row>
    <row r="43" spans="1:17" hidden="1" x14ac:dyDescent="0.35">
      <c r="A43" s="10">
        <v>40</v>
      </c>
      <c r="B43" s="11" t="s">
        <v>66</v>
      </c>
      <c r="C43" s="11" t="s">
        <v>73</v>
      </c>
      <c r="D43" s="16" t="s">
        <v>32</v>
      </c>
      <c r="E43" s="13" t="s">
        <v>22</v>
      </c>
      <c r="F43" s="13" t="s">
        <v>23</v>
      </c>
      <c r="G43" s="15"/>
      <c r="H43" s="15"/>
      <c r="I43" s="15"/>
      <c r="J43" s="15"/>
      <c r="K43" s="15"/>
      <c r="L43" s="15"/>
      <c r="M43" s="15"/>
      <c r="N43" s="15"/>
      <c r="O43" s="15"/>
      <c r="P43" s="15"/>
      <c r="Q43" s="15"/>
    </row>
    <row r="44" spans="1:17" hidden="1" x14ac:dyDescent="0.35">
      <c r="A44" s="10">
        <v>41</v>
      </c>
      <c r="B44" s="11" t="s">
        <v>66</v>
      </c>
      <c r="C44" s="11" t="s">
        <v>74</v>
      </c>
      <c r="D44" s="16" t="s">
        <v>32</v>
      </c>
      <c r="E44" s="13" t="s">
        <v>22</v>
      </c>
      <c r="F44" s="13" t="s">
        <v>23</v>
      </c>
      <c r="G44" s="15"/>
      <c r="H44" s="15"/>
      <c r="I44" s="15"/>
      <c r="J44" s="15"/>
      <c r="K44" s="15"/>
      <c r="L44" s="15"/>
      <c r="M44" s="15"/>
      <c r="N44" s="15"/>
      <c r="O44" s="15"/>
      <c r="P44" s="15"/>
      <c r="Q44" s="15"/>
    </row>
    <row r="45" spans="1:17" hidden="1" x14ac:dyDescent="0.35">
      <c r="A45" s="10">
        <v>42</v>
      </c>
      <c r="B45" s="11" t="s">
        <v>66</v>
      </c>
      <c r="C45" s="11" t="s">
        <v>75</v>
      </c>
      <c r="D45" s="16" t="s">
        <v>32</v>
      </c>
      <c r="E45" s="13" t="s">
        <v>22</v>
      </c>
      <c r="F45" s="13" t="s">
        <v>23</v>
      </c>
      <c r="G45" s="15"/>
      <c r="H45" s="15"/>
      <c r="I45" s="15"/>
      <c r="J45" s="15"/>
      <c r="K45" s="15"/>
      <c r="L45" s="15"/>
      <c r="M45" s="15"/>
      <c r="N45" s="15"/>
      <c r="O45" s="15"/>
      <c r="P45" s="15"/>
      <c r="Q45" s="15"/>
    </row>
    <row r="46" spans="1:17" hidden="1" x14ac:dyDescent="0.35">
      <c r="A46" s="10">
        <v>43</v>
      </c>
      <c r="B46" s="11" t="s">
        <v>66</v>
      </c>
      <c r="C46" s="11" t="s">
        <v>76</v>
      </c>
      <c r="D46" s="17" t="s">
        <v>44</v>
      </c>
      <c r="E46" s="13" t="s">
        <v>22</v>
      </c>
      <c r="F46" s="13" t="s">
        <v>23</v>
      </c>
      <c r="G46" s="15"/>
      <c r="H46" s="15"/>
      <c r="I46" s="15"/>
      <c r="J46" s="15"/>
      <c r="K46" s="15"/>
      <c r="L46" s="15"/>
      <c r="M46" s="15"/>
      <c r="N46" s="15"/>
      <c r="O46" s="15"/>
      <c r="P46" s="15"/>
      <c r="Q46" s="15"/>
    </row>
    <row r="47" spans="1:17" hidden="1" x14ac:dyDescent="0.35">
      <c r="A47" s="10">
        <v>44</v>
      </c>
      <c r="B47" s="11" t="s">
        <v>66</v>
      </c>
      <c r="C47" s="11" t="s">
        <v>77</v>
      </c>
      <c r="D47" s="17" t="s">
        <v>44</v>
      </c>
      <c r="E47" s="13" t="s">
        <v>22</v>
      </c>
      <c r="F47" s="13" t="s">
        <v>23</v>
      </c>
      <c r="G47" s="15"/>
      <c r="H47" s="15"/>
      <c r="I47" s="15"/>
      <c r="J47" s="15"/>
      <c r="K47" s="15"/>
      <c r="L47" s="15"/>
      <c r="M47" s="15"/>
      <c r="N47" s="15"/>
      <c r="O47" s="15"/>
      <c r="P47" s="15"/>
      <c r="Q47" s="15"/>
    </row>
    <row r="48" spans="1:17" hidden="1" x14ac:dyDescent="0.35">
      <c r="A48" s="10">
        <v>45</v>
      </c>
      <c r="B48" s="11" t="s">
        <v>78</v>
      </c>
      <c r="C48" s="11" t="s">
        <v>79</v>
      </c>
      <c r="D48" s="12" t="s">
        <v>21</v>
      </c>
      <c r="E48" s="13" t="s">
        <v>22</v>
      </c>
      <c r="F48" s="13" t="s">
        <v>23</v>
      </c>
      <c r="G48" s="15"/>
      <c r="H48" s="15"/>
      <c r="I48" s="15"/>
      <c r="J48" s="15"/>
      <c r="K48" s="15"/>
      <c r="L48" s="15"/>
      <c r="M48" s="15"/>
      <c r="N48" s="15"/>
      <c r="O48" s="15"/>
      <c r="P48" s="15"/>
      <c r="Q48" s="15"/>
    </row>
    <row r="49" spans="1:17" hidden="1" x14ac:dyDescent="0.35">
      <c r="A49" s="10">
        <v>46</v>
      </c>
      <c r="B49" s="11" t="s">
        <v>78</v>
      </c>
      <c r="C49" s="11" t="s">
        <v>80</v>
      </c>
      <c r="D49" s="12" t="s">
        <v>21</v>
      </c>
      <c r="E49" s="13" t="s">
        <v>22</v>
      </c>
      <c r="F49" s="13" t="s">
        <v>23</v>
      </c>
      <c r="G49" s="15"/>
      <c r="H49" s="15"/>
      <c r="I49" s="15"/>
      <c r="J49" s="15"/>
      <c r="K49" s="15"/>
      <c r="L49" s="15"/>
      <c r="M49" s="15"/>
      <c r="N49" s="15"/>
      <c r="O49" s="15"/>
      <c r="P49" s="15"/>
      <c r="Q49" s="15"/>
    </row>
    <row r="50" spans="1:17" hidden="1" x14ac:dyDescent="0.35">
      <c r="A50" s="10">
        <v>47</v>
      </c>
      <c r="B50" s="11" t="s">
        <v>78</v>
      </c>
      <c r="C50" s="11" t="s">
        <v>81</v>
      </c>
      <c r="D50" s="12" t="s">
        <v>21</v>
      </c>
      <c r="E50" s="13" t="s">
        <v>22</v>
      </c>
      <c r="F50" s="13" t="s">
        <v>23</v>
      </c>
      <c r="G50" s="15"/>
      <c r="H50" s="15"/>
      <c r="I50" s="15"/>
      <c r="J50" s="15"/>
      <c r="K50" s="15"/>
      <c r="L50" s="15"/>
      <c r="M50" s="15"/>
      <c r="N50" s="15"/>
      <c r="O50" s="15"/>
      <c r="P50" s="15"/>
      <c r="Q50" s="15"/>
    </row>
    <row r="51" spans="1:17" hidden="1" x14ac:dyDescent="0.35">
      <c r="A51" s="10">
        <v>48</v>
      </c>
      <c r="B51" s="11" t="s">
        <v>78</v>
      </c>
      <c r="C51" s="11" t="s">
        <v>82</v>
      </c>
      <c r="D51" s="12" t="s">
        <v>21</v>
      </c>
      <c r="E51" s="13" t="s">
        <v>22</v>
      </c>
      <c r="F51" s="13" t="s">
        <v>23</v>
      </c>
      <c r="G51" s="15"/>
      <c r="H51" s="15"/>
      <c r="I51" s="15"/>
      <c r="J51" s="15"/>
      <c r="K51" s="15"/>
      <c r="L51" s="15"/>
      <c r="M51" s="15"/>
      <c r="N51" s="15"/>
      <c r="O51" s="15"/>
      <c r="P51" s="15"/>
      <c r="Q51" s="15"/>
    </row>
    <row r="52" spans="1:17" hidden="1" x14ac:dyDescent="0.35">
      <c r="A52" s="10">
        <v>49</v>
      </c>
      <c r="B52" s="11" t="s">
        <v>78</v>
      </c>
      <c r="C52" s="11" t="s">
        <v>83</v>
      </c>
      <c r="D52" s="12" t="s">
        <v>21</v>
      </c>
      <c r="E52" s="13" t="s">
        <v>22</v>
      </c>
      <c r="F52" s="13" t="s">
        <v>23</v>
      </c>
      <c r="G52" s="15"/>
      <c r="H52" s="15"/>
      <c r="I52" s="15"/>
      <c r="J52" s="15"/>
      <c r="K52" s="15"/>
      <c r="L52" s="15"/>
      <c r="M52" s="15"/>
      <c r="N52" s="15"/>
      <c r="O52" s="15"/>
      <c r="P52" s="15"/>
      <c r="Q52" s="15"/>
    </row>
    <row r="53" spans="1:17" hidden="1" x14ac:dyDescent="0.35">
      <c r="A53" s="10">
        <v>50</v>
      </c>
      <c r="B53" s="11" t="s">
        <v>78</v>
      </c>
      <c r="C53" s="11" t="s">
        <v>84</v>
      </c>
      <c r="D53" s="12" t="s">
        <v>21</v>
      </c>
      <c r="E53" s="13" t="s">
        <v>22</v>
      </c>
      <c r="F53" s="13" t="s">
        <v>23</v>
      </c>
      <c r="G53" s="15"/>
      <c r="H53" s="15"/>
      <c r="I53" s="15"/>
      <c r="J53" s="15"/>
      <c r="K53" s="15"/>
      <c r="L53" s="15"/>
      <c r="M53" s="15"/>
      <c r="N53" s="15"/>
      <c r="O53" s="15"/>
      <c r="P53" s="15"/>
      <c r="Q53" s="15"/>
    </row>
    <row r="54" spans="1:17" ht="25" hidden="1" x14ac:dyDescent="0.35">
      <c r="A54" s="10">
        <v>51</v>
      </c>
      <c r="B54" s="11" t="s">
        <v>78</v>
      </c>
      <c r="C54" s="11" t="s">
        <v>85</v>
      </c>
      <c r="D54" s="16" t="s">
        <v>32</v>
      </c>
      <c r="E54" s="13" t="s">
        <v>22</v>
      </c>
      <c r="F54" s="13" t="s">
        <v>23</v>
      </c>
      <c r="G54" s="15"/>
      <c r="H54" s="15"/>
      <c r="I54" s="15"/>
      <c r="J54" s="15"/>
      <c r="K54" s="15"/>
      <c r="L54" s="15"/>
      <c r="M54" s="15"/>
      <c r="N54" s="15"/>
      <c r="O54" s="15"/>
      <c r="P54" s="15"/>
      <c r="Q54" s="15"/>
    </row>
    <row r="55" spans="1:17" hidden="1" x14ac:dyDescent="0.35">
      <c r="A55" s="10">
        <v>52</v>
      </c>
      <c r="B55" s="11" t="s">
        <v>78</v>
      </c>
      <c r="C55" s="11" t="s">
        <v>86</v>
      </c>
      <c r="D55" s="16" t="s">
        <v>32</v>
      </c>
      <c r="E55" s="13" t="s">
        <v>22</v>
      </c>
      <c r="F55" s="13" t="s">
        <v>23</v>
      </c>
      <c r="G55" s="15"/>
      <c r="H55" s="15"/>
      <c r="I55" s="15"/>
      <c r="J55" s="15"/>
      <c r="K55" s="15"/>
      <c r="L55" s="15"/>
      <c r="M55" s="15"/>
      <c r="N55" s="15"/>
      <c r="O55" s="15"/>
      <c r="P55" s="15"/>
      <c r="Q55" s="15"/>
    </row>
    <row r="56" spans="1:17" hidden="1" x14ac:dyDescent="0.35">
      <c r="A56" s="10">
        <v>53</v>
      </c>
      <c r="B56" s="11" t="s">
        <v>78</v>
      </c>
      <c r="C56" s="11" t="s">
        <v>87</v>
      </c>
      <c r="D56" s="16" t="s">
        <v>32</v>
      </c>
      <c r="E56" s="13" t="s">
        <v>22</v>
      </c>
      <c r="F56" s="13" t="s">
        <v>23</v>
      </c>
      <c r="G56" s="15"/>
      <c r="H56" s="15"/>
      <c r="I56" s="15"/>
      <c r="J56" s="15"/>
      <c r="K56" s="15"/>
      <c r="L56" s="15"/>
      <c r="M56" s="15"/>
      <c r="N56" s="15"/>
      <c r="O56" s="15"/>
      <c r="P56" s="15"/>
      <c r="Q56" s="15"/>
    </row>
    <row r="57" spans="1:17" hidden="1" x14ac:dyDescent="0.35">
      <c r="A57" s="10">
        <v>54</v>
      </c>
      <c r="B57" s="11" t="s">
        <v>78</v>
      </c>
      <c r="C57" s="11" t="s">
        <v>88</v>
      </c>
      <c r="D57" s="16" t="s">
        <v>32</v>
      </c>
      <c r="E57" s="13" t="s">
        <v>22</v>
      </c>
      <c r="F57" s="13" t="s">
        <v>23</v>
      </c>
      <c r="G57" s="15"/>
      <c r="H57" s="15"/>
      <c r="I57" s="15"/>
      <c r="J57" s="15"/>
      <c r="K57" s="15"/>
      <c r="L57" s="15"/>
      <c r="M57" s="15"/>
      <c r="N57" s="15"/>
      <c r="O57" s="15"/>
      <c r="P57" s="15"/>
      <c r="Q57" s="15"/>
    </row>
    <row r="58" spans="1:17" hidden="1" x14ac:dyDescent="0.35">
      <c r="A58" s="10">
        <v>55</v>
      </c>
      <c r="B58" s="11" t="s">
        <v>78</v>
      </c>
      <c r="C58" s="11" t="s">
        <v>89</v>
      </c>
      <c r="D58" s="16" t="s">
        <v>32</v>
      </c>
      <c r="E58" s="13" t="s">
        <v>22</v>
      </c>
      <c r="F58" s="13" t="s">
        <v>23</v>
      </c>
      <c r="G58" s="15"/>
      <c r="H58" s="15"/>
      <c r="I58" s="15"/>
      <c r="J58" s="15"/>
      <c r="K58" s="15"/>
      <c r="L58" s="15"/>
      <c r="M58" s="15"/>
      <c r="N58" s="15"/>
      <c r="O58" s="15"/>
      <c r="P58" s="15"/>
      <c r="Q58" s="15"/>
    </row>
    <row r="59" spans="1:17" hidden="1" x14ac:dyDescent="0.35">
      <c r="A59" s="10">
        <v>56</v>
      </c>
      <c r="B59" s="11" t="s">
        <v>78</v>
      </c>
      <c r="C59" s="11" t="s">
        <v>90</v>
      </c>
      <c r="D59" s="16" t="s">
        <v>32</v>
      </c>
      <c r="E59" s="13" t="s">
        <v>22</v>
      </c>
      <c r="F59" s="13" t="s">
        <v>23</v>
      </c>
      <c r="G59" s="15"/>
      <c r="H59" s="15"/>
      <c r="I59" s="15"/>
      <c r="J59" s="15"/>
      <c r="K59" s="15"/>
      <c r="L59" s="15"/>
      <c r="M59" s="15"/>
      <c r="N59" s="15"/>
      <c r="O59" s="15"/>
      <c r="P59" s="15"/>
      <c r="Q59" s="15"/>
    </row>
    <row r="60" spans="1:17" ht="25" hidden="1" x14ac:dyDescent="0.35">
      <c r="A60" s="10">
        <v>57</v>
      </c>
      <c r="B60" s="11" t="s">
        <v>78</v>
      </c>
      <c r="C60" s="11" t="s">
        <v>91</v>
      </c>
      <c r="D60" s="16" t="s">
        <v>32</v>
      </c>
      <c r="E60" s="13" t="s">
        <v>22</v>
      </c>
      <c r="F60" s="13" t="s">
        <v>23</v>
      </c>
      <c r="G60" s="15"/>
      <c r="H60" s="15"/>
      <c r="I60" s="15"/>
      <c r="J60" s="15"/>
      <c r="K60" s="15"/>
      <c r="L60" s="15"/>
      <c r="M60" s="15"/>
      <c r="N60" s="15"/>
      <c r="O60" s="15"/>
      <c r="P60" s="15"/>
      <c r="Q60" s="15"/>
    </row>
    <row r="61" spans="1:17" hidden="1" x14ac:dyDescent="0.35">
      <c r="A61" s="10">
        <v>58</v>
      </c>
      <c r="B61" s="11" t="s">
        <v>78</v>
      </c>
      <c r="C61" s="11" t="s">
        <v>92</v>
      </c>
      <c r="D61" s="17" t="s">
        <v>44</v>
      </c>
      <c r="E61" s="13" t="s">
        <v>22</v>
      </c>
      <c r="F61" s="13" t="s">
        <v>23</v>
      </c>
      <c r="G61" s="15"/>
      <c r="H61" s="15"/>
      <c r="I61" s="15"/>
      <c r="J61" s="15"/>
      <c r="K61" s="15"/>
      <c r="L61" s="15"/>
      <c r="M61" s="15"/>
      <c r="N61" s="15"/>
      <c r="O61" s="15"/>
      <c r="P61" s="15"/>
      <c r="Q61" s="15"/>
    </row>
    <row r="62" spans="1:17" hidden="1" x14ac:dyDescent="0.35">
      <c r="A62" s="10">
        <v>59</v>
      </c>
      <c r="B62" s="11" t="s">
        <v>78</v>
      </c>
      <c r="C62" s="11" t="s">
        <v>93</v>
      </c>
      <c r="D62" s="17" t="s">
        <v>44</v>
      </c>
      <c r="E62" s="13" t="s">
        <v>22</v>
      </c>
      <c r="F62" s="13" t="s">
        <v>23</v>
      </c>
      <c r="G62" s="15"/>
      <c r="H62" s="15"/>
      <c r="I62" s="15"/>
      <c r="J62" s="15"/>
      <c r="K62" s="15"/>
      <c r="L62" s="15"/>
      <c r="M62" s="15"/>
      <c r="N62" s="15"/>
      <c r="O62" s="15"/>
      <c r="P62" s="15"/>
      <c r="Q62" s="15"/>
    </row>
    <row r="63" spans="1:17" ht="25" hidden="1" x14ac:dyDescent="0.35">
      <c r="A63" s="10">
        <v>60</v>
      </c>
      <c r="B63" s="11" t="s">
        <v>94</v>
      </c>
      <c r="C63" s="11" t="s">
        <v>95</v>
      </c>
      <c r="D63" s="12" t="s">
        <v>21</v>
      </c>
      <c r="E63" s="13" t="s">
        <v>22</v>
      </c>
      <c r="F63" s="13" t="s">
        <v>23</v>
      </c>
      <c r="G63" s="15"/>
      <c r="H63" s="15"/>
      <c r="I63" s="15"/>
      <c r="J63" s="15"/>
      <c r="K63" s="15"/>
      <c r="L63" s="15"/>
      <c r="M63" s="15"/>
      <c r="N63" s="15"/>
      <c r="O63" s="15"/>
      <c r="P63" s="15"/>
      <c r="Q63" s="15"/>
    </row>
    <row r="64" spans="1:17" ht="25" hidden="1" x14ac:dyDescent="0.35">
      <c r="A64" s="10">
        <v>61</v>
      </c>
      <c r="B64" s="11" t="s">
        <v>94</v>
      </c>
      <c r="C64" s="11" t="s">
        <v>96</v>
      </c>
      <c r="D64" s="12" t="s">
        <v>21</v>
      </c>
      <c r="E64" s="13" t="s">
        <v>22</v>
      </c>
      <c r="F64" s="13" t="s">
        <v>23</v>
      </c>
      <c r="G64" s="15"/>
      <c r="H64" s="15"/>
      <c r="I64" s="15"/>
      <c r="J64" s="15"/>
      <c r="K64" s="15"/>
      <c r="L64" s="15"/>
      <c r="M64" s="15"/>
      <c r="N64" s="15"/>
      <c r="O64" s="15"/>
      <c r="P64" s="15"/>
      <c r="Q64" s="15"/>
    </row>
    <row r="65" spans="1:17" ht="25" hidden="1" x14ac:dyDescent="0.35">
      <c r="A65" s="10">
        <v>62</v>
      </c>
      <c r="B65" s="11" t="s">
        <v>94</v>
      </c>
      <c r="C65" s="11" t="s">
        <v>97</v>
      </c>
      <c r="D65" s="16" t="s">
        <v>32</v>
      </c>
      <c r="E65" s="13" t="s">
        <v>22</v>
      </c>
      <c r="F65" s="13" t="s">
        <v>23</v>
      </c>
      <c r="G65" s="15"/>
      <c r="H65" s="15"/>
      <c r="I65" s="15"/>
      <c r="J65" s="15"/>
      <c r="K65" s="15"/>
      <c r="L65" s="15"/>
      <c r="M65" s="15"/>
      <c r="N65" s="15"/>
      <c r="O65" s="15"/>
      <c r="P65" s="15"/>
      <c r="Q65" s="15"/>
    </row>
    <row r="66" spans="1:17" ht="25" hidden="1" x14ac:dyDescent="0.35">
      <c r="A66" s="10">
        <v>63</v>
      </c>
      <c r="B66" s="11" t="s">
        <v>94</v>
      </c>
      <c r="C66" s="11" t="s">
        <v>98</v>
      </c>
      <c r="D66" s="16" t="s">
        <v>32</v>
      </c>
      <c r="E66" s="13" t="s">
        <v>22</v>
      </c>
      <c r="F66" s="13" t="s">
        <v>23</v>
      </c>
      <c r="G66" s="15"/>
      <c r="H66" s="15"/>
      <c r="I66" s="15"/>
      <c r="J66" s="15"/>
      <c r="K66" s="15"/>
      <c r="L66" s="15"/>
      <c r="M66" s="15"/>
      <c r="N66" s="15"/>
      <c r="O66" s="15"/>
      <c r="P66" s="15"/>
      <c r="Q66" s="15"/>
    </row>
    <row r="67" spans="1:17" ht="25" hidden="1" x14ac:dyDescent="0.35">
      <c r="A67" s="10">
        <v>64</v>
      </c>
      <c r="B67" s="11" t="s">
        <v>94</v>
      </c>
      <c r="C67" s="11" t="s">
        <v>99</v>
      </c>
      <c r="D67" s="16" t="s">
        <v>32</v>
      </c>
      <c r="E67" s="13" t="s">
        <v>22</v>
      </c>
      <c r="F67" s="13" t="s">
        <v>23</v>
      </c>
      <c r="G67" s="15"/>
      <c r="H67" s="15"/>
      <c r="I67" s="15"/>
      <c r="J67" s="15"/>
      <c r="K67" s="15"/>
      <c r="L67" s="15"/>
      <c r="M67" s="15"/>
      <c r="N67" s="15"/>
      <c r="O67" s="15"/>
      <c r="P67" s="15"/>
      <c r="Q67" s="15"/>
    </row>
    <row r="68" spans="1:17" ht="25" hidden="1" x14ac:dyDescent="0.35">
      <c r="A68" s="10">
        <v>65</v>
      </c>
      <c r="B68" s="11" t="s">
        <v>94</v>
      </c>
      <c r="C68" s="11" t="s">
        <v>100</v>
      </c>
      <c r="D68" s="16" t="s">
        <v>32</v>
      </c>
      <c r="E68" s="13" t="s">
        <v>22</v>
      </c>
      <c r="F68" s="13" t="s">
        <v>23</v>
      </c>
      <c r="G68" s="15"/>
      <c r="H68" s="15"/>
      <c r="I68" s="15"/>
      <c r="J68" s="15"/>
      <c r="K68" s="15"/>
      <c r="L68" s="15"/>
      <c r="M68" s="15"/>
      <c r="N68" s="15"/>
      <c r="O68" s="15"/>
      <c r="P68" s="15"/>
      <c r="Q68" s="15"/>
    </row>
    <row r="69" spans="1:17" ht="25" hidden="1" x14ac:dyDescent="0.35">
      <c r="A69" s="10">
        <v>66</v>
      </c>
      <c r="B69" s="11" t="s">
        <v>94</v>
      </c>
      <c r="C69" s="11" t="s">
        <v>101</v>
      </c>
      <c r="D69" s="17" t="s">
        <v>44</v>
      </c>
      <c r="E69" s="13" t="s">
        <v>22</v>
      </c>
      <c r="F69" s="13" t="s">
        <v>23</v>
      </c>
      <c r="G69" s="15"/>
      <c r="H69" s="15"/>
      <c r="I69" s="15"/>
      <c r="J69" s="15"/>
      <c r="K69" s="15"/>
      <c r="L69" s="15"/>
      <c r="M69" s="15"/>
      <c r="N69" s="15"/>
      <c r="O69" s="15"/>
      <c r="P69" s="15"/>
      <c r="Q69" s="15"/>
    </row>
    <row r="70" spans="1:17" hidden="1" x14ac:dyDescent="0.35">
      <c r="A70" s="10">
        <v>67</v>
      </c>
      <c r="B70" s="11" t="s">
        <v>102</v>
      </c>
      <c r="C70" s="11" t="s">
        <v>103</v>
      </c>
      <c r="D70" s="16" t="s">
        <v>32</v>
      </c>
      <c r="E70" s="13" t="s">
        <v>22</v>
      </c>
      <c r="F70" s="13" t="s">
        <v>23</v>
      </c>
      <c r="G70" s="15"/>
      <c r="H70" s="15"/>
      <c r="I70" s="15"/>
      <c r="J70" s="15"/>
      <c r="K70" s="15"/>
      <c r="L70" s="15"/>
      <c r="M70" s="15"/>
      <c r="N70" s="15"/>
      <c r="O70" s="15"/>
      <c r="P70" s="15"/>
      <c r="Q70" s="15"/>
    </row>
    <row r="71" spans="1:17" hidden="1" x14ac:dyDescent="0.35">
      <c r="A71" s="10">
        <v>68</v>
      </c>
      <c r="B71" s="11" t="s">
        <v>102</v>
      </c>
      <c r="C71" s="11" t="s">
        <v>104</v>
      </c>
      <c r="D71" s="16" t="s">
        <v>32</v>
      </c>
      <c r="E71" s="13" t="s">
        <v>22</v>
      </c>
      <c r="F71" s="13" t="s">
        <v>23</v>
      </c>
      <c r="G71" s="15"/>
      <c r="H71" s="15"/>
      <c r="I71" s="15"/>
      <c r="J71" s="15"/>
      <c r="K71" s="15"/>
      <c r="L71" s="15"/>
      <c r="M71" s="15"/>
      <c r="N71" s="15"/>
      <c r="O71" s="15"/>
      <c r="P71" s="15"/>
      <c r="Q71" s="15"/>
    </row>
    <row r="72" spans="1:17" hidden="1" x14ac:dyDescent="0.35">
      <c r="A72" s="10">
        <v>69</v>
      </c>
      <c r="B72" s="11" t="s">
        <v>102</v>
      </c>
      <c r="C72" s="11" t="s">
        <v>105</v>
      </c>
      <c r="D72" s="16" t="s">
        <v>32</v>
      </c>
      <c r="E72" s="13" t="s">
        <v>22</v>
      </c>
      <c r="F72" s="13" t="s">
        <v>23</v>
      </c>
      <c r="G72" s="15"/>
      <c r="H72" s="15"/>
      <c r="I72" s="15"/>
      <c r="J72" s="15"/>
      <c r="K72" s="15"/>
      <c r="L72" s="15"/>
      <c r="M72" s="15"/>
      <c r="N72" s="15"/>
      <c r="O72" s="15"/>
      <c r="P72" s="15"/>
      <c r="Q72" s="15"/>
    </row>
    <row r="73" spans="1:17" hidden="1" x14ac:dyDescent="0.35">
      <c r="A73" s="10">
        <v>70</v>
      </c>
      <c r="B73" s="11" t="s">
        <v>102</v>
      </c>
      <c r="C73" s="11" t="s">
        <v>106</v>
      </c>
      <c r="D73" s="16" t="s">
        <v>32</v>
      </c>
      <c r="E73" s="13" t="s">
        <v>22</v>
      </c>
      <c r="F73" s="13" t="s">
        <v>23</v>
      </c>
      <c r="G73" s="15"/>
      <c r="H73" s="15"/>
      <c r="I73" s="15"/>
      <c r="J73" s="15"/>
      <c r="K73" s="15"/>
      <c r="L73" s="15"/>
      <c r="M73" s="15"/>
      <c r="N73" s="15"/>
      <c r="O73" s="15"/>
      <c r="P73" s="15"/>
      <c r="Q73" s="15"/>
    </row>
    <row r="74" spans="1:17" hidden="1" x14ac:dyDescent="0.35">
      <c r="A74" s="10">
        <v>71</v>
      </c>
      <c r="B74" s="11" t="s">
        <v>102</v>
      </c>
      <c r="C74" s="11" t="s">
        <v>107</v>
      </c>
      <c r="D74" s="16" t="s">
        <v>32</v>
      </c>
      <c r="E74" s="13" t="s">
        <v>22</v>
      </c>
      <c r="F74" s="13" t="s">
        <v>23</v>
      </c>
      <c r="G74" s="15"/>
      <c r="H74" s="15"/>
      <c r="I74" s="15"/>
      <c r="J74" s="15"/>
      <c r="K74" s="15"/>
      <c r="L74" s="15"/>
      <c r="M74" s="15"/>
      <c r="N74" s="15"/>
      <c r="O74" s="15"/>
      <c r="P74" s="15"/>
      <c r="Q74" s="15"/>
    </row>
    <row r="75" spans="1:17" hidden="1" x14ac:dyDescent="0.35">
      <c r="A75" s="10">
        <v>72</v>
      </c>
      <c r="B75" s="11" t="s">
        <v>102</v>
      </c>
      <c r="C75" s="11" t="s">
        <v>108</v>
      </c>
      <c r="D75" s="16" t="s">
        <v>32</v>
      </c>
      <c r="E75" s="13" t="s">
        <v>22</v>
      </c>
      <c r="F75" s="13" t="s">
        <v>23</v>
      </c>
      <c r="G75" s="15"/>
      <c r="H75" s="15"/>
      <c r="I75" s="15"/>
      <c r="J75" s="15"/>
      <c r="K75" s="15"/>
      <c r="L75" s="15"/>
      <c r="M75" s="15"/>
      <c r="N75" s="15"/>
      <c r="O75" s="15"/>
      <c r="P75" s="15"/>
      <c r="Q75" s="15"/>
    </row>
    <row r="76" spans="1:17" hidden="1" x14ac:dyDescent="0.35">
      <c r="A76" s="10">
        <v>73</v>
      </c>
      <c r="B76" s="11" t="s">
        <v>102</v>
      </c>
      <c r="C76" s="11" t="s">
        <v>109</v>
      </c>
      <c r="D76" s="16" t="s">
        <v>32</v>
      </c>
      <c r="E76" s="13" t="s">
        <v>22</v>
      </c>
      <c r="F76" s="13" t="s">
        <v>23</v>
      </c>
      <c r="G76" s="15"/>
      <c r="H76" s="15"/>
      <c r="I76" s="15"/>
      <c r="J76" s="15"/>
      <c r="K76" s="15"/>
      <c r="L76" s="15"/>
      <c r="M76" s="15"/>
      <c r="N76" s="15"/>
      <c r="O76" s="15"/>
      <c r="P76" s="15"/>
      <c r="Q76" s="15"/>
    </row>
    <row r="77" spans="1:17" hidden="1" x14ac:dyDescent="0.35">
      <c r="A77" s="10">
        <v>74</v>
      </c>
      <c r="B77" s="11" t="s">
        <v>102</v>
      </c>
      <c r="C77" s="11" t="s">
        <v>110</v>
      </c>
      <c r="D77" s="16" t="s">
        <v>32</v>
      </c>
      <c r="E77" s="13" t="s">
        <v>22</v>
      </c>
      <c r="F77" s="13" t="s">
        <v>23</v>
      </c>
      <c r="G77" s="15"/>
      <c r="H77" s="15"/>
      <c r="I77" s="15"/>
      <c r="J77" s="15"/>
      <c r="K77" s="15"/>
      <c r="L77" s="15"/>
      <c r="M77" s="15"/>
      <c r="N77" s="15"/>
      <c r="O77" s="15"/>
      <c r="P77" s="15"/>
      <c r="Q77" s="15"/>
    </row>
    <row r="78" spans="1:17" hidden="1" x14ac:dyDescent="0.35">
      <c r="A78" s="10">
        <v>75</v>
      </c>
      <c r="B78" s="11" t="s">
        <v>102</v>
      </c>
      <c r="C78" s="11" t="s">
        <v>111</v>
      </c>
      <c r="D78" s="16" t="s">
        <v>32</v>
      </c>
      <c r="E78" s="13" t="s">
        <v>22</v>
      </c>
      <c r="F78" s="13" t="s">
        <v>23</v>
      </c>
      <c r="G78" s="15"/>
      <c r="H78" s="15"/>
      <c r="I78" s="15"/>
      <c r="J78" s="15"/>
      <c r="K78" s="15"/>
      <c r="L78" s="15"/>
      <c r="M78" s="15"/>
      <c r="N78" s="15"/>
      <c r="O78" s="15"/>
      <c r="P78" s="15"/>
      <c r="Q78" s="15"/>
    </row>
    <row r="79" spans="1:17" hidden="1" x14ac:dyDescent="0.35">
      <c r="A79" s="10">
        <v>76</v>
      </c>
      <c r="B79" s="11" t="s">
        <v>102</v>
      </c>
      <c r="C79" s="11" t="s">
        <v>112</v>
      </c>
      <c r="D79" s="17" t="s">
        <v>44</v>
      </c>
      <c r="E79" s="13" t="s">
        <v>22</v>
      </c>
      <c r="F79" s="13" t="s">
        <v>23</v>
      </c>
      <c r="G79" s="15"/>
      <c r="H79" s="15"/>
      <c r="I79" s="15"/>
      <c r="J79" s="15"/>
      <c r="K79" s="15"/>
      <c r="L79" s="15"/>
      <c r="M79" s="15"/>
      <c r="N79" s="15"/>
      <c r="O79" s="15"/>
      <c r="P79" s="15"/>
      <c r="Q79" s="15"/>
    </row>
    <row r="80" spans="1:17" hidden="1" x14ac:dyDescent="0.35">
      <c r="A80" s="10">
        <v>77</v>
      </c>
      <c r="B80" s="11" t="s">
        <v>113</v>
      </c>
      <c r="C80" s="11" t="s">
        <v>114</v>
      </c>
      <c r="D80" s="16" t="s">
        <v>32</v>
      </c>
      <c r="E80" s="13" t="s">
        <v>22</v>
      </c>
      <c r="F80" s="13" t="s">
        <v>23</v>
      </c>
      <c r="G80" s="15"/>
      <c r="H80" s="15"/>
      <c r="I80" s="15"/>
      <c r="J80" s="15"/>
      <c r="K80" s="15"/>
      <c r="L80" s="15"/>
      <c r="M80" s="15"/>
      <c r="N80" s="15"/>
      <c r="O80" s="15"/>
      <c r="P80" s="15"/>
      <c r="Q80" s="15"/>
    </row>
    <row r="81" spans="1:17" hidden="1" x14ac:dyDescent="0.35">
      <c r="A81" s="10">
        <v>78</v>
      </c>
      <c r="B81" s="11" t="s">
        <v>113</v>
      </c>
      <c r="C81" s="11" t="s">
        <v>115</v>
      </c>
      <c r="D81" s="16" t="s">
        <v>32</v>
      </c>
      <c r="E81" s="13" t="s">
        <v>22</v>
      </c>
      <c r="F81" s="13" t="s">
        <v>23</v>
      </c>
      <c r="G81" s="15"/>
      <c r="H81" s="15"/>
      <c r="I81" s="15"/>
      <c r="J81" s="15"/>
      <c r="K81" s="15"/>
      <c r="L81" s="15"/>
      <c r="M81" s="15"/>
      <c r="N81" s="15"/>
      <c r="O81" s="15"/>
      <c r="P81" s="15"/>
      <c r="Q81" s="15"/>
    </row>
    <row r="82" spans="1:17" hidden="1" x14ac:dyDescent="0.35">
      <c r="A82" s="10">
        <v>79</v>
      </c>
      <c r="B82" s="11" t="s">
        <v>113</v>
      </c>
      <c r="C82" s="11" t="s">
        <v>116</v>
      </c>
      <c r="D82" s="17" t="s">
        <v>44</v>
      </c>
      <c r="E82" s="13" t="s">
        <v>22</v>
      </c>
      <c r="F82" s="13" t="s">
        <v>23</v>
      </c>
      <c r="G82" s="15"/>
      <c r="H82" s="15"/>
      <c r="I82" s="15"/>
      <c r="J82" s="15"/>
      <c r="K82" s="15"/>
      <c r="L82" s="15"/>
      <c r="M82" s="15"/>
      <c r="N82" s="15"/>
      <c r="O82" s="15"/>
      <c r="P82" s="15"/>
      <c r="Q82" s="15"/>
    </row>
    <row r="83" spans="1:17" hidden="1" x14ac:dyDescent="0.35">
      <c r="A83" s="10">
        <v>80</v>
      </c>
      <c r="B83" s="11" t="s">
        <v>117</v>
      </c>
      <c r="C83" s="11" t="s">
        <v>118</v>
      </c>
      <c r="D83" s="16" t="s">
        <v>32</v>
      </c>
      <c r="E83" s="13" t="s">
        <v>22</v>
      </c>
      <c r="F83" s="13" t="s">
        <v>23</v>
      </c>
      <c r="G83" s="15"/>
      <c r="H83" s="15"/>
      <c r="I83" s="15"/>
      <c r="J83" s="15"/>
      <c r="K83" s="15"/>
      <c r="L83" s="15"/>
      <c r="M83" s="15"/>
      <c r="N83" s="15"/>
      <c r="O83" s="15"/>
      <c r="P83" s="15"/>
      <c r="Q83" s="15"/>
    </row>
    <row r="84" spans="1:17" hidden="1" x14ac:dyDescent="0.35">
      <c r="A84" s="10">
        <v>81</v>
      </c>
      <c r="B84" s="11" t="s">
        <v>117</v>
      </c>
      <c r="C84" s="11" t="s">
        <v>119</v>
      </c>
      <c r="D84" s="16" t="s">
        <v>32</v>
      </c>
      <c r="E84" s="13" t="s">
        <v>22</v>
      </c>
      <c r="F84" s="13" t="s">
        <v>23</v>
      </c>
      <c r="G84" s="15"/>
      <c r="H84" s="15"/>
      <c r="I84" s="15"/>
      <c r="J84" s="15"/>
      <c r="K84" s="15"/>
      <c r="L84" s="15"/>
      <c r="M84" s="15"/>
      <c r="N84" s="15"/>
      <c r="O84" s="15"/>
      <c r="P84" s="15"/>
      <c r="Q84" s="15"/>
    </row>
    <row r="85" spans="1:17" hidden="1" x14ac:dyDescent="0.35">
      <c r="A85" s="10">
        <v>82</v>
      </c>
      <c r="B85" s="11" t="s">
        <v>117</v>
      </c>
      <c r="C85" s="11" t="s">
        <v>120</v>
      </c>
      <c r="D85" s="16" t="s">
        <v>32</v>
      </c>
      <c r="E85" s="13" t="s">
        <v>22</v>
      </c>
      <c r="F85" s="13" t="s">
        <v>23</v>
      </c>
      <c r="G85" s="15"/>
      <c r="H85" s="15"/>
      <c r="I85" s="15"/>
      <c r="J85" s="15"/>
      <c r="K85" s="15"/>
      <c r="L85" s="15"/>
      <c r="M85" s="15"/>
      <c r="N85" s="15"/>
      <c r="O85" s="15"/>
      <c r="P85" s="15"/>
      <c r="Q85" s="15"/>
    </row>
    <row r="86" spans="1:17" hidden="1" x14ac:dyDescent="0.35">
      <c r="A86" s="10">
        <v>83</v>
      </c>
      <c r="B86" s="11" t="s">
        <v>117</v>
      </c>
      <c r="C86" s="11" t="s">
        <v>121</v>
      </c>
      <c r="D86" s="16" t="s">
        <v>32</v>
      </c>
      <c r="E86" s="13" t="s">
        <v>22</v>
      </c>
      <c r="F86" s="13" t="s">
        <v>23</v>
      </c>
      <c r="G86" s="15"/>
      <c r="H86" s="15"/>
      <c r="I86" s="15"/>
      <c r="J86" s="15"/>
      <c r="K86" s="15"/>
      <c r="L86" s="15"/>
      <c r="M86" s="15"/>
      <c r="N86" s="15"/>
      <c r="O86" s="15"/>
      <c r="P86" s="15"/>
      <c r="Q86" s="15"/>
    </row>
    <row r="87" spans="1:17" hidden="1" x14ac:dyDescent="0.35">
      <c r="A87" s="10">
        <v>84</v>
      </c>
      <c r="B87" s="11" t="s">
        <v>117</v>
      </c>
      <c r="C87" s="11" t="s">
        <v>122</v>
      </c>
      <c r="D87" s="16" t="s">
        <v>32</v>
      </c>
      <c r="E87" s="13" t="s">
        <v>22</v>
      </c>
      <c r="F87" s="13" t="s">
        <v>23</v>
      </c>
      <c r="G87" s="15"/>
      <c r="H87" s="15"/>
      <c r="I87" s="15"/>
      <c r="J87" s="15"/>
      <c r="K87" s="15"/>
      <c r="L87" s="15"/>
      <c r="M87" s="15"/>
      <c r="N87" s="15"/>
      <c r="O87" s="15"/>
      <c r="P87" s="15"/>
      <c r="Q87" s="15"/>
    </row>
    <row r="88" spans="1:17" hidden="1" x14ac:dyDescent="0.35">
      <c r="A88" s="10">
        <v>85</v>
      </c>
      <c r="B88" s="11" t="s">
        <v>117</v>
      </c>
      <c r="C88" s="11" t="s">
        <v>123</v>
      </c>
      <c r="D88" s="16" t="s">
        <v>32</v>
      </c>
      <c r="E88" s="13" t="s">
        <v>22</v>
      </c>
      <c r="F88" s="13" t="s">
        <v>23</v>
      </c>
      <c r="G88" s="15"/>
      <c r="H88" s="15"/>
      <c r="I88" s="15"/>
      <c r="J88" s="15"/>
      <c r="K88" s="15"/>
      <c r="L88" s="15"/>
      <c r="M88" s="15"/>
      <c r="N88" s="15"/>
      <c r="O88" s="15"/>
      <c r="P88" s="15"/>
      <c r="Q88" s="15"/>
    </row>
    <row r="89" spans="1:17" hidden="1" x14ac:dyDescent="0.35">
      <c r="A89" s="10">
        <v>86</v>
      </c>
      <c r="B89" s="11" t="s">
        <v>117</v>
      </c>
      <c r="C89" s="11" t="s">
        <v>124</v>
      </c>
      <c r="D89" s="16" t="s">
        <v>32</v>
      </c>
      <c r="E89" s="13" t="s">
        <v>22</v>
      </c>
      <c r="F89" s="13" t="s">
        <v>23</v>
      </c>
      <c r="G89" s="15"/>
      <c r="H89" s="15"/>
      <c r="I89" s="15"/>
      <c r="J89" s="15"/>
      <c r="K89" s="15"/>
      <c r="L89" s="15"/>
      <c r="M89" s="15"/>
      <c r="N89" s="15"/>
      <c r="O89" s="15"/>
      <c r="P89" s="15"/>
      <c r="Q89" s="15"/>
    </row>
    <row r="90" spans="1:17" hidden="1" x14ac:dyDescent="0.35">
      <c r="A90" s="10">
        <v>87</v>
      </c>
      <c r="B90" s="11" t="s">
        <v>117</v>
      </c>
      <c r="C90" s="11" t="s">
        <v>125</v>
      </c>
      <c r="D90" s="16" t="s">
        <v>32</v>
      </c>
      <c r="E90" s="13" t="s">
        <v>22</v>
      </c>
      <c r="F90" s="13" t="s">
        <v>23</v>
      </c>
      <c r="G90" s="15"/>
      <c r="H90" s="15"/>
      <c r="I90" s="15"/>
      <c r="J90" s="15"/>
      <c r="K90" s="15"/>
      <c r="L90" s="15"/>
      <c r="M90" s="15"/>
      <c r="N90" s="15"/>
      <c r="O90" s="15"/>
      <c r="P90" s="15"/>
      <c r="Q90" s="15"/>
    </row>
    <row r="91" spans="1:17" hidden="1" x14ac:dyDescent="0.35">
      <c r="A91" s="10">
        <v>88</v>
      </c>
      <c r="B91" s="11" t="s">
        <v>117</v>
      </c>
      <c r="C91" s="11" t="s">
        <v>126</v>
      </c>
      <c r="D91" s="16" t="s">
        <v>32</v>
      </c>
      <c r="E91" s="13" t="s">
        <v>22</v>
      </c>
      <c r="F91" s="13" t="s">
        <v>23</v>
      </c>
      <c r="G91" s="15"/>
      <c r="H91" s="15"/>
      <c r="I91" s="15"/>
      <c r="J91" s="15"/>
      <c r="K91" s="15"/>
      <c r="L91" s="15"/>
      <c r="M91" s="15"/>
      <c r="N91" s="15"/>
      <c r="O91" s="15"/>
      <c r="P91" s="15"/>
      <c r="Q91" s="15"/>
    </row>
    <row r="92" spans="1:17" hidden="1" x14ac:dyDescent="0.35">
      <c r="A92" s="10">
        <v>89</v>
      </c>
      <c r="B92" s="11" t="s">
        <v>117</v>
      </c>
      <c r="C92" s="11" t="s">
        <v>127</v>
      </c>
      <c r="D92" s="16" t="s">
        <v>32</v>
      </c>
      <c r="E92" s="13" t="s">
        <v>22</v>
      </c>
      <c r="F92" s="13" t="s">
        <v>23</v>
      </c>
      <c r="G92" s="15"/>
      <c r="H92" s="15"/>
      <c r="I92" s="15"/>
      <c r="J92" s="15"/>
      <c r="K92" s="15"/>
      <c r="L92" s="15"/>
      <c r="M92" s="15"/>
      <c r="N92" s="15"/>
      <c r="O92" s="15"/>
      <c r="P92" s="15"/>
      <c r="Q92" s="15"/>
    </row>
    <row r="93" spans="1:17" ht="25" hidden="1" x14ac:dyDescent="0.35">
      <c r="A93" s="10">
        <v>90</v>
      </c>
      <c r="B93" s="11" t="s">
        <v>117</v>
      </c>
      <c r="C93" s="11" t="s">
        <v>128</v>
      </c>
      <c r="D93" s="16" t="s">
        <v>32</v>
      </c>
      <c r="E93" s="13" t="s">
        <v>22</v>
      </c>
      <c r="F93" s="13" t="s">
        <v>23</v>
      </c>
      <c r="G93" s="15"/>
      <c r="H93" s="15"/>
      <c r="I93" s="15"/>
      <c r="J93" s="15"/>
      <c r="K93" s="15"/>
      <c r="L93" s="15"/>
      <c r="M93" s="15"/>
      <c r="N93" s="15"/>
      <c r="O93" s="15"/>
      <c r="P93" s="15"/>
      <c r="Q93" s="15"/>
    </row>
    <row r="94" spans="1:17" hidden="1" x14ac:dyDescent="0.35">
      <c r="A94" s="10">
        <v>91</v>
      </c>
      <c r="B94" s="11" t="s">
        <v>117</v>
      </c>
      <c r="C94" s="11" t="s">
        <v>129</v>
      </c>
      <c r="D94" s="16" t="s">
        <v>32</v>
      </c>
      <c r="E94" s="13" t="s">
        <v>22</v>
      </c>
      <c r="F94" s="13" t="s">
        <v>23</v>
      </c>
      <c r="G94" s="15"/>
      <c r="H94" s="15"/>
      <c r="I94" s="15"/>
      <c r="J94" s="15"/>
      <c r="K94" s="15"/>
      <c r="L94" s="15"/>
      <c r="M94" s="15"/>
      <c r="N94" s="15"/>
      <c r="O94" s="15"/>
      <c r="P94" s="15"/>
      <c r="Q94" s="15"/>
    </row>
    <row r="95" spans="1:17" hidden="1" x14ac:dyDescent="0.35">
      <c r="A95" s="10">
        <v>92</v>
      </c>
      <c r="B95" s="11" t="s">
        <v>117</v>
      </c>
      <c r="C95" s="11" t="s">
        <v>130</v>
      </c>
      <c r="D95" s="17" t="s">
        <v>44</v>
      </c>
      <c r="E95" s="13" t="s">
        <v>22</v>
      </c>
      <c r="F95" s="13" t="s">
        <v>23</v>
      </c>
      <c r="G95" s="15"/>
      <c r="H95" s="15"/>
      <c r="I95" s="15"/>
      <c r="J95" s="15"/>
      <c r="K95" s="15"/>
      <c r="L95" s="15"/>
      <c r="M95" s="15"/>
      <c r="N95" s="15"/>
      <c r="O95" s="15"/>
      <c r="P95" s="15"/>
      <c r="Q95" s="15"/>
    </row>
    <row r="96" spans="1:17" hidden="1" x14ac:dyDescent="0.35">
      <c r="A96" s="10">
        <v>93</v>
      </c>
      <c r="B96" s="11" t="s">
        <v>131</v>
      </c>
      <c r="C96" s="11" t="s">
        <v>132</v>
      </c>
      <c r="D96" s="16" t="s">
        <v>32</v>
      </c>
      <c r="E96" s="13" t="s">
        <v>22</v>
      </c>
      <c r="F96" s="13" t="s">
        <v>23</v>
      </c>
      <c r="G96" s="15"/>
      <c r="H96" s="15"/>
      <c r="I96" s="15"/>
      <c r="J96" s="15"/>
      <c r="K96" s="15"/>
      <c r="L96" s="15"/>
      <c r="M96" s="15"/>
      <c r="N96" s="15"/>
      <c r="O96" s="15"/>
      <c r="P96" s="15"/>
      <c r="Q96" s="15"/>
    </row>
    <row r="97" spans="1:17" hidden="1" x14ac:dyDescent="0.35">
      <c r="A97" s="10">
        <v>94</v>
      </c>
      <c r="B97" s="11" t="s">
        <v>131</v>
      </c>
      <c r="C97" s="11" t="s">
        <v>133</v>
      </c>
      <c r="D97" s="17" t="s">
        <v>44</v>
      </c>
      <c r="E97" s="13" t="s">
        <v>22</v>
      </c>
      <c r="F97" s="13" t="s">
        <v>23</v>
      </c>
      <c r="G97" s="15"/>
      <c r="H97" s="15"/>
      <c r="I97" s="15"/>
      <c r="J97" s="15"/>
      <c r="K97" s="15"/>
      <c r="L97" s="15"/>
      <c r="M97" s="15"/>
      <c r="N97" s="15"/>
      <c r="O97" s="15"/>
      <c r="P97" s="15"/>
      <c r="Q97" s="15"/>
    </row>
    <row r="98" spans="1:17" hidden="1" x14ac:dyDescent="0.35">
      <c r="A98" s="10">
        <v>95</v>
      </c>
      <c r="B98" s="11" t="s">
        <v>131</v>
      </c>
      <c r="C98" s="11" t="s">
        <v>134</v>
      </c>
      <c r="D98" s="16" t="s">
        <v>32</v>
      </c>
      <c r="E98" s="13" t="s">
        <v>22</v>
      </c>
      <c r="F98" s="13" t="s">
        <v>23</v>
      </c>
      <c r="G98" s="15"/>
      <c r="H98" s="15"/>
      <c r="I98" s="15"/>
      <c r="J98" s="15"/>
      <c r="K98" s="15"/>
      <c r="L98" s="15"/>
      <c r="M98" s="15"/>
      <c r="N98" s="15"/>
      <c r="O98" s="15"/>
      <c r="P98" s="15"/>
      <c r="Q98" s="15"/>
    </row>
    <row r="99" spans="1:17" hidden="1" x14ac:dyDescent="0.35">
      <c r="A99" s="10">
        <v>96</v>
      </c>
      <c r="B99" s="11" t="s">
        <v>131</v>
      </c>
      <c r="C99" s="11" t="s">
        <v>135</v>
      </c>
      <c r="D99" s="17" t="s">
        <v>44</v>
      </c>
      <c r="E99" s="13" t="s">
        <v>22</v>
      </c>
      <c r="F99" s="13" t="s">
        <v>23</v>
      </c>
      <c r="G99" s="15"/>
      <c r="H99" s="15"/>
      <c r="I99" s="15"/>
      <c r="J99" s="15"/>
      <c r="K99" s="15"/>
      <c r="L99" s="15"/>
      <c r="M99" s="15"/>
      <c r="N99" s="15"/>
      <c r="O99" s="15"/>
      <c r="P99" s="15"/>
      <c r="Q99" s="15"/>
    </row>
    <row r="100" spans="1:17" hidden="1" x14ac:dyDescent="0.35">
      <c r="A100" s="10">
        <v>97</v>
      </c>
      <c r="B100" s="11" t="s">
        <v>131</v>
      </c>
      <c r="C100" s="11" t="s">
        <v>136</v>
      </c>
      <c r="D100" s="17" t="s">
        <v>44</v>
      </c>
      <c r="E100" s="13" t="s">
        <v>22</v>
      </c>
      <c r="F100" s="13" t="s">
        <v>23</v>
      </c>
      <c r="G100" s="15"/>
      <c r="H100" s="15"/>
      <c r="I100" s="15"/>
      <c r="J100" s="15"/>
      <c r="K100" s="15"/>
      <c r="L100" s="15"/>
      <c r="M100" s="15"/>
      <c r="N100" s="15"/>
      <c r="O100" s="15"/>
      <c r="P100" s="15"/>
      <c r="Q100" s="15"/>
    </row>
    <row r="101" spans="1:17" hidden="1" x14ac:dyDescent="0.35">
      <c r="A101" s="10">
        <v>98</v>
      </c>
      <c r="B101" s="11" t="s">
        <v>131</v>
      </c>
      <c r="C101" s="11" t="s">
        <v>137</v>
      </c>
      <c r="D101" s="16" t="s">
        <v>32</v>
      </c>
      <c r="E101" s="13" t="s">
        <v>22</v>
      </c>
      <c r="F101" s="13" t="s">
        <v>23</v>
      </c>
      <c r="G101" s="15"/>
      <c r="H101" s="15"/>
      <c r="I101" s="15"/>
      <c r="J101" s="15"/>
      <c r="K101" s="15"/>
      <c r="L101" s="15"/>
      <c r="M101" s="15"/>
      <c r="N101" s="15"/>
      <c r="O101" s="15"/>
      <c r="P101" s="15"/>
      <c r="Q101" s="15"/>
    </row>
    <row r="102" spans="1:17" ht="25" hidden="1" x14ac:dyDescent="0.35">
      <c r="A102" s="10">
        <v>99</v>
      </c>
      <c r="B102" s="11" t="s">
        <v>138</v>
      </c>
      <c r="C102" s="11" t="s">
        <v>139</v>
      </c>
      <c r="D102" s="12" t="s">
        <v>21</v>
      </c>
      <c r="E102" s="13" t="s">
        <v>22</v>
      </c>
      <c r="F102" s="13" t="s">
        <v>23</v>
      </c>
      <c r="G102" s="15"/>
      <c r="H102" s="15"/>
      <c r="I102" s="15"/>
      <c r="J102" s="15"/>
      <c r="K102" s="15"/>
      <c r="L102" s="15"/>
      <c r="M102" s="15"/>
      <c r="N102" s="15"/>
      <c r="O102" s="15"/>
      <c r="P102" s="15"/>
      <c r="Q102" s="15"/>
    </row>
    <row r="103" spans="1:17" ht="25" hidden="1" x14ac:dyDescent="0.35">
      <c r="A103" s="10">
        <v>100</v>
      </c>
      <c r="B103" s="11" t="s">
        <v>138</v>
      </c>
      <c r="C103" s="11" t="s">
        <v>140</v>
      </c>
      <c r="D103" s="12" t="s">
        <v>21</v>
      </c>
      <c r="E103" s="13" t="s">
        <v>22</v>
      </c>
      <c r="F103" s="13" t="s">
        <v>23</v>
      </c>
      <c r="G103" s="15"/>
      <c r="H103" s="15"/>
      <c r="I103" s="15"/>
      <c r="J103" s="15"/>
      <c r="K103" s="15"/>
      <c r="L103" s="15"/>
      <c r="M103" s="15"/>
      <c r="N103" s="15"/>
      <c r="O103" s="15"/>
      <c r="P103" s="15"/>
      <c r="Q103" s="15"/>
    </row>
    <row r="104" spans="1:17" ht="25" hidden="1" x14ac:dyDescent="0.35">
      <c r="A104" s="10">
        <v>101</v>
      </c>
      <c r="B104" s="11" t="s">
        <v>138</v>
      </c>
      <c r="C104" s="11" t="s">
        <v>141</v>
      </c>
      <c r="D104" s="16" t="s">
        <v>32</v>
      </c>
      <c r="E104" s="13" t="s">
        <v>22</v>
      </c>
      <c r="F104" s="13" t="s">
        <v>23</v>
      </c>
      <c r="G104" s="15"/>
      <c r="H104" s="15"/>
      <c r="I104" s="15"/>
      <c r="J104" s="15"/>
      <c r="K104" s="15"/>
      <c r="L104" s="15"/>
      <c r="M104" s="15"/>
      <c r="N104" s="15"/>
      <c r="O104" s="15"/>
      <c r="P104" s="15"/>
      <c r="Q104" s="15"/>
    </row>
    <row r="105" spans="1:17" ht="25" hidden="1" x14ac:dyDescent="0.35">
      <c r="A105" s="10">
        <v>102</v>
      </c>
      <c r="B105" s="11" t="s">
        <v>138</v>
      </c>
      <c r="C105" s="11" t="s">
        <v>142</v>
      </c>
      <c r="D105" s="16" t="s">
        <v>32</v>
      </c>
      <c r="E105" s="13" t="s">
        <v>22</v>
      </c>
      <c r="F105" s="13" t="s">
        <v>23</v>
      </c>
      <c r="G105" s="15"/>
      <c r="H105" s="15"/>
      <c r="I105" s="15"/>
      <c r="J105" s="15"/>
      <c r="K105" s="15"/>
      <c r="L105" s="15"/>
      <c r="M105" s="15"/>
      <c r="N105" s="15"/>
      <c r="O105" s="15"/>
      <c r="P105" s="15"/>
      <c r="Q105" s="15"/>
    </row>
    <row r="106" spans="1:17" ht="25" hidden="1" x14ac:dyDescent="0.35">
      <c r="A106" s="10">
        <v>103</v>
      </c>
      <c r="B106" s="11" t="s">
        <v>138</v>
      </c>
      <c r="C106" s="11" t="s">
        <v>143</v>
      </c>
      <c r="D106" s="16" t="s">
        <v>32</v>
      </c>
      <c r="E106" s="13" t="s">
        <v>22</v>
      </c>
      <c r="F106" s="13" t="s">
        <v>23</v>
      </c>
      <c r="G106" s="15"/>
      <c r="H106" s="15"/>
      <c r="I106" s="15"/>
      <c r="J106" s="15"/>
      <c r="K106" s="15"/>
      <c r="L106" s="15"/>
      <c r="M106" s="15"/>
      <c r="N106" s="15"/>
      <c r="O106" s="15"/>
      <c r="P106" s="15"/>
      <c r="Q106" s="15"/>
    </row>
    <row r="107" spans="1:17" ht="25" hidden="1" x14ac:dyDescent="0.35">
      <c r="A107" s="10">
        <v>104</v>
      </c>
      <c r="B107" s="11" t="s">
        <v>138</v>
      </c>
      <c r="C107" s="11" t="s">
        <v>144</v>
      </c>
      <c r="D107" s="16" t="s">
        <v>32</v>
      </c>
      <c r="E107" s="13" t="s">
        <v>22</v>
      </c>
      <c r="F107" s="13" t="s">
        <v>23</v>
      </c>
      <c r="G107" s="15"/>
      <c r="H107" s="15"/>
      <c r="I107" s="15"/>
      <c r="J107" s="15"/>
      <c r="K107" s="15"/>
      <c r="L107" s="15"/>
      <c r="M107" s="15"/>
      <c r="N107" s="15"/>
      <c r="O107" s="15"/>
      <c r="P107" s="15"/>
      <c r="Q107" s="15"/>
    </row>
    <row r="108" spans="1:17" ht="25" hidden="1" x14ac:dyDescent="0.35">
      <c r="A108" s="10">
        <v>105</v>
      </c>
      <c r="B108" s="11" t="s">
        <v>138</v>
      </c>
      <c r="C108" s="11" t="s">
        <v>145</v>
      </c>
      <c r="D108" s="16" t="s">
        <v>32</v>
      </c>
      <c r="E108" s="13" t="s">
        <v>22</v>
      </c>
      <c r="F108" s="13" t="s">
        <v>23</v>
      </c>
      <c r="G108" s="15"/>
      <c r="H108" s="15"/>
      <c r="I108" s="15"/>
      <c r="J108" s="15"/>
      <c r="K108" s="15"/>
      <c r="L108" s="15"/>
      <c r="M108" s="15"/>
      <c r="N108" s="15"/>
      <c r="O108" s="15"/>
      <c r="P108" s="15"/>
      <c r="Q108" s="15"/>
    </row>
    <row r="109" spans="1:17" ht="25" hidden="1" x14ac:dyDescent="0.35">
      <c r="A109" s="10">
        <v>106</v>
      </c>
      <c r="B109" s="11" t="s">
        <v>138</v>
      </c>
      <c r="C109" s="11" t="s">
        <v>146</v>
      </c>
      <c r="D109" s="16" t="s">
        <v>32</v>
      </c>
      <c r="E109" s="13" t="s">
        <v>22</v>
      </c>
      <c r="F109" s="13" t="s">
        <v>23</v>
      </c>
      <c r="G109" s="15"/>
      <c r="H109" s="15"/>
      <c r="I109" s="15"/>
      <c r="J109" s="15"/>
      <c r="K109" s="15"/>
      <c r="L109" s="15"/>
      <c r="M109" s="15"/>
      <c r="N109" s="15"/>
      <c r="O109" s="15"/>
      <c r="P109" s="15"/>
      <c r="Q109" s="15"/>
    </row>
    <row r="110" spans="1:17" ht="25" hidden="1" x14ac:dyDescent="0.35">
      <c r="A110" s="10">
        <v>107</v>
      </c>
      <c r="B110" s="11" t="s">
        <v>138</v>
      </c>
      <c r="C110" s="11" t="s">
        <v>147</v>
      </c>
      <c r="D110" s="16" t="s">
        <v>32</v>
      </c>
      <c r="E110" s="13" t="s">
        <v>22</v>
      </c>
      <c r="F110" s="13" t="s">
        <v>23</v>
      </c>
      <c r="G110" s="15"/>
      <c r="H110" s="15"/>
      <c r="I110" s="15"/>
      <c r="J110" s="15"/>
      <c r="K110" s="15"/>
      <c r="L110" s="15"/>
      <c r="M110" s="15"/>
      <c r="N110" s="15"/>
      <c r="O110" s="15"/>
      <c r="P110" s="15"/>
      <c r="Q110" s="15"/>
    </row>
    <row r="111" spans="1:17" ht="25" hidden="1" x14ac:dyDescent="0.35">
      <c r="A111" s="10">
        <v>108</v>
      </c>
      <c r="B111" s="11" t="s">
        <v>138</v>
      </c>
      <c r="C111" s="11" t="s">
        <v>148</v>
      </c>
      <c r="D111" s="16" t="s">
        <v>32</v>
      </c>
      <c r="E111" s="13" t="s">
        <v>22</v>
      </c>
      <c r="F111" s="13" t="s">
        <v>23</v>
      </c>
      <c r="G111" s="15"/>
      <c r="H111" s="15"/>
      <c r="I111" s="15"/>
      <c r="J111" s="15"/>
      <c r="K111" s="15"/>
      <c r="L111" s="15"/>
      <c r="M111" s="15"/>
      <c r="N111" s="15"/>
      <c r="O111" s="15"/>
      <c r="P111" s="15"/>
      <c r="Q111" s="15"/>
    </row>
    <row r="112" spans="1:17" ht="25" hidden="1" x14ac:dyDescent="0.35">
      <c r="A112" s="10">
        <v>109</v>
      </c>
      <c r="B112" s="11" t="s">
        <v>138</v>
      </c>
      <c r="C112" s="11" t="s">
        <v>149</v>
      </c>
      <c r="D112" s="16" t="s">
        <v>32</v>
      </c>
      <c r="E112" s="13" t="s">
        <v>22</v>
      </c>
      <c r="F112" s="13" t="s">
        <v>23</v>
      </c>
      <c r="G112" s="15"/>
      <c r="H112" s="15"/>
      <c r="I112" s="15"/>
      <c r="J112" s="15"/>
      <c r="K112" s="15"/>
      <c r="L112" s="15"/>
      <c r="M112" s="15"/>
      <c r="N112" s="15"/>
      <c r="O112" s="15"/>
      <c r="P112" s="15"/>
      <c r="Q112" s="15"/>
    </row>
    <row r="113" spans="1:17" ht="25" hidden="1" x14ac:dyDescent="0.35">
      <c r="A113" s="10">
        <v>110</v>
      </c>
      <c r="B113" s="11" t="s">
        <v>138</v>
      </c>
      <c r="C113" s="11" t="s">
        <v>150</v>
      </c>
      <c r="D113" s="16" t="s">
        <v>32</v>
      </c>
      <c r="E113" s="13" t="s">
        <v>22</v>
      </c>
      <c r="F113" s="13" t="s">
        <v>23</v>
      </c>
      <c r="G113" s="15"/>
      <c r="H113" s="15"/>
      <c r="I113" s="15"/>
      <c r="J113" s="15"/>
      <c r="K113" s="15"/>
      <c r="L113" s="15"/>
      <c r="M113" s="15"/>
      <c r="N113" s="15"/>
      <c r="O113" s="15"/>
      <c r="P113" s="15"/>
      <c r="Q113" s="15"/>
    </row>
    <row r="114" spans="1:17" ht="25" hidden="1" x14ac:dyDescent="0.35">
      <c r="A114" s="10">
        <v>111</v>
      </c>
      <c r="B114" s="11" t="s">
        <v>151</v>
      </c>
      <c r="C114" s="11" t="s">
        <v>152</v>
      </c>
      <c r="D114" s="16" t="s">
        <v>32</v>
      </c>
      <c r="E114" s="13" t="s">
        <v>22</v>
      </c>
      <c r="F114" s="13" t="s">
        <v>23</v>
      </c>
      <c r="G114" s="15"/>
      <c r="H114" s="15"/>
      <c r="I114" s="15"/>
      <c r="J114" s="15"/>
      <c r="K114" s="15"/>
      <c r="L114" s="15"/>
      <c r="M114" s="15"/>
      <c r="N114" s="15"/>
      <c r="O114" s="15"/>
      <c r="P114" s="15"/>
      <c r="Q114" s="15"/>
    </row>
    <row r="115" spans="1:17" ht="25" hidden="1" x14ac:dyDescent="0.35">
      <c r="A115" s="10">
        <v>112</v>
      </c>
      <c r="B115" s="11" t="s">
        <v>151</v>
      </c>
      <c r="C115" s="11" t="s">
        <v>153</v>
      </c>
      <c r="D115" s="16" t="s">
        <v>32</v>
      </c>
      <c r="E115" s="13" t="s">
        <v>22</v>
      </c>
      <c r="F115" s="13" t="s">
        <v>23</v>
      </c>
      <c r="G115" s="15"/>
      <c r="H115" s="15"/>
      <c r="I115" s="15"/>
      <c r="J115" s="15"/>
      <c r="K115" s="15"/>
      <c r="L115" s="15"/>
      <c r="M115" s="15"/>
      <c r="N115" s="15"/>
      <c r="O115" s="15"/>
      <c r="P115" s="15"/>
      <c r="Q115" s="15"/>
    </row>
    <row r="116" spans="1:17" ht="25" hidden="1" x14ac:dyDescent="0.35">
      <c r="A116" s="10">
        <v>113</v>
      </c>
      <c r="B116" s="11" t="s">
        <v>151</v>
      </c>
      <c r="C116" s="11" t="s">
        <v>154</v>
      </c>
      <c r="D116" s="16" t="s">
        <v>32</v>
      </c>
      <c r="E116" s="13" t="s">
        <v>22</v>
      </c>
      <c r="F116" s="13" t="s">
        <v>23</v>
      </c>
      <c r="G116" s="15"/>
      <c r="H116" s="15"/>
      <c r="I116" s="15"/>
      <c r="J116" s="15"/>
      <c r="K116" s="15"/>
      <c r="L116" s="15"/>
      <c r="M116" s="15"/>
      <c r="N116" s="15"/>
      <c r="O116" s="15"/>
      <c r="P116" s="15"/>
      <c r="Q116" s="15"/>
    </row>
    <row r="117" spans="1:17" ht="25" hidden="1" x14ac:dyDescent="0.35">
      <c r="A117" s="10">
        <v>114</v>
      </c>
      <c r="B117" s="11" t="s">
        <v>151</v>
      </c>
      <c r="C117" s="11" t="s">
        <v>155</v>
      </c>
      <c r="D117" s="16" t="s">
        <v>32</v>
      </c>
      <c r="E117" s="13" t="s">
        <v>22</v>
      </c>
      <c r="F117" s="13" t="s">
        <v>23</v>
      </c>
      <c r="G117" s="15"/>
      <c r="H117" s="15"/>
      <c r="I117" s="15"/>
      <c r="J117" s="15"/>
      <c r="K117" s="15"/>
      <c r="L117" s="15"/>
      <c r="M117" s="15"/>
      <c r="N117" s="15"/>
      <c r="O117" s="15"/>
      <c r="P117" s="15"/>
      <c r="Q117" s="15"/>
    </row>
    <row r="118" spans="1:17" ht="25" hidden="1" x14ac:dyDescent="0.35">
      <c r="A118" s="10">
        <v>115</v>
      </c>
      <c r="B118" s="11" t="s">
        <v>151</v>
      </c>
      <c r="C118" s="11" t="s">
        <v>156</v>
      </c>
      <c r="D118" s="16" t="s">
        <v>32</v>
      </c>
      <c r="E118" s="13" t="s">
        <v>22</v>
      </c>
      <c r="F118" s="13" t="s">
        <v>23</v>
      </c>
      <c r="G118" s="15"/>
      <c r="H118" s="15"/>
      <c r="I118" s="15"/>
      <c r="J118" s="15"/>
      <c r="K118" s="15"/>
      <c r="L118" s="15"/>
      <c r="M118" s="15"/>
      <c r="N118" s="15"/>
      <c r="O118" s="15"/>
      <c r="P118" s="15"/>
      <c r="Q118" s="15"/>
    </row>
    <row r="119" spans="1:17" ht="25" hidden="1" x14ac:dyDescent="0.35">
      <c r="A119" s="10">
        <v>116</v>
      </c>
      <c r="B119" s="11" t="s">
        <v>151</v>
      </c>
      <c r="C119" s="11" t="s">
        <v>157</v>
      </c>
      <c r="D119" s="16" t="s">
        <v>32</v>
      </c>
      <c r="E119" s="13" t="s">
        <v>22</v>
      </c>
      <c r="F119" s="13" t="s">
        <v>23</v>
      </c>
      <c r="G119" s="15"/>
      <c r="H119" s="15"/>
      <c r="I119" s="15"/>
      <c r="J119" s="15"/>
      <c r="K119" s="15"/>
      <c r="L119" s="15"/>
      <c r="M119" s="15"/>
      <c r="N119" s="15"/>
      <c r="O119" s="15"/>
      <c r="P119" s="15"/>
      <c r="Q119" s="15"/>
    </row>
    <row r="120" spans="1:17" ht="25" hidden="1" x14ac:dyDescent="0.35">
      <c r="A120" s="10">
        <v>117</v>
      </c>
      <c r="B120" s="11" t="s">
        <v>151</v>
      </c>
      <c r="C120" s="11" t="s">
        <v>158</v>
      </c>
      <c r="D120" s="17" t="s">
        <v>44</v>
      </c>
      <c r="E120" s="13" t="s">
        <v>22</v>
      </c>
      <c r="F120" s="13" t="s">
        <v>23</v>
      </c>
      <c r="G120" s="15"/>
      <c r="H120" s="15"/>
      <c r="I120" s="15"/>
      <c r="J120" s="15"/>
      <c r="K120" s="15"/>
      <c r="L120" s="15"/>
      <c r="M120" s="15"/>
      <c r="N120" s="15"/>
      <c r="O120" s="15"/>
      <c r="P120" s="15"/>
      <c r="Q120" s="15"/>
    </row>
    <row r="121" spans="1:17" ht="25" hidden="1" x14ac:dyDescent="0.35">
      <c r="A121" s="10">
        <v>118</v>
      </c>
      <c r="B121" s="11" t="s">
        <v>151</v>
      </c>
      <c r="C121" s="11" t="s">
        <v>159</v>
      </c>
      <c r="D121" s="17" t="s">
        <v>44</v>
      </c>
      <c r="E121" s="13" t="s">
        <v>22</v>
      </c>
      <c r="F121" s="13" t="s">
        <v>23</v>
      </c>
      <c r="G121" s="15"/>
      <c r="H121" s="15"/>
      <c r="I121" s="15"/>
      <c r="J121" s="15"/>
      <c r="K121" s="15"/>
      <c r="L121" s="15"/>
      <c r="M121" s="15"/>
      <c r="N121" s="15"/>
      <c r="O121" s="15"/>
      <c r="P121" s="15"/>
      <c r="Q121" s="15"/>
    </row>
    <row r="122" spans="1:17" ht="25" hidden="1" x14ac:dyDescent="0.35">
      <c r="A122" s="10">
        <v>119</v>
      </c>
      <c r="B122" s="11" t="s">
        <v>151</v>
      </c>
      <c r="C122" s="11" t="s">
        <v>160</v>
      </c>
      <c r="D122" s="16" t="s">
        <v>32</v>
      </c>
      <c r="E122" s="13" t="s">
        <v>22</v>
      </c>
      <c r="F122" s="13" t="s">
        <v>23</v>
      </c>
      <c r="G122" s="15"/>
      <c r="H122" s="15"/>
      <c r="I122" s="15"/>
      <c r="J122" s="15"/>
      <c r="K122" s="15"/>
      <c r="L122" s="15"/>
      <c r="M122" s="15"/>
      <c r="N122" s="15"/>
      <c r="O122" s="15"/>
      <c r="P122" s="15"/>
      <c r="Q122" s="15"/>
    </row>
    <row r="123" spans="1:17" ht="25" hidden="1" x14ac:dyDescent="0.35">
      <c r="A123" s="10">
        <v>120</v>
      </c>
      <c r="B123" s="11" t="s">
        <v>151</v>
      </c>
      <c r="C123" s="11" t="s">
        <v>161</v>
      </c>
      <c r="D123" s="17" t="s">
        <v>44</v>
      </c>
      <c r="E123" s="13" t="s">
        <v>22</v>
      </c>
      <c r="F123" s="13" t="s">
        <v>23</v>
      </c>
      <c r="G123" s="15"/>
      <c r="H123" s="15"/>
      <c r="I123" s="15"/>
      <c r="J123" s="15"/>
      <c r="K123" s="15"/>
      <c r="L123" s="15"/>
      <c r="M123" s="15"/>
      <c r="N123" s="15"/>
      <c r="O123" s="15"/>
      <c r="P123" s="15"/>
      <c r="Q123" s="15"/>
    </row>
    <row r="124" spans="1:17" ht="25" hidden="1" x14ac:dyDescent="0.35">
      <c r="A124" s="10">
        <v>121</v>
      </c>
      <c r="B124" s="11" t="s">
        <v>151</v>
      </c>
      <c r="C124" s="11" t="s">
        <v>162</v>
      </c>
      <c r="D124" s="17" t="s">
        <v>44</v>
      </c>
      <c r="E124" s="13" t="s">
        <v>22</v>
      </c>
      <c r="F124" s="13" t="s">
        <v>23</v>
      </c>
      <c r="G124" s="15"/>
      <c r="H124" s="15"/>
      <c r="I124" s="15"/>
      <c r="J124" s="15"/>
      <c r="K124" s="15"/>
      <c r="L124" s="15"/>
      <c r="M124" s="15"/>
      <c r="N124" s="15"/>
      <c r="O124" s="15"/>
      <c r="P124" s="15"/>
      <c r="Q124" s="15"/>
    </row>
    <row r="125" spans="1:17" hidden="1" x14ac:dyDescent="0.35">
      <c r="A125" s="10">
        <v>122</v>
      </c>
      <c r="B125" s="11" t="s">
        <v>163</v>
      </c>
      <c r="C125" s="11" t="s">
        <v>164</v>
      </c>
      <c r="D125" s="16" t="s">
        <v>32</v>
      </c>
      <c r="E125" s="13" t="s">
        <v>22</v>
      </c>
      <c r="F125" s="13" t="s">
        <v>23</v>
      </c>
      <c r="G125" s="15"/>
      <c r="H125" s="15"/>
      <c r="I125" s="15"/>
      <c r="J125" s="15"/>
      <c r="K125" s="15"/>
      <c r="L125" s="15"/>
      <c r="M125" s="15"/>
      <c r="N125" s="15"/>
      <c r="O125" s="15"/>
      <c r="P125" s="15"/>
      <c r="Q125" s="15"/>
    </row>
    <row r="126" spans="1:17" hidden="1" x14ac:dyDescent="0.35">
      <c r="A126" s="10">
        <v>123</v>
      </c>
      <c r="B126" s="11" t="s">
        <v>163</v>
      </c>
      <c r="C126" s="11" t="s">
        <v>165</v>
      </c>
      <c r="D126" s="16" t="s">
        <v>32</v>
      </c>
      <c r="E126" s="13" t="s">
        <v>22</v>
      </c>
      <c r="F126" s="13" t="s">
        <v>23</v>
      </c>
      <c r="G126" s="15"/>
      <c r="H126" s="15"/>
      <c r="I126" s="15"/>
      <c r="J126" s="15"/>
      <c r="K126" s="15"/>
      <c r="L126" s="15"/>
      <c r="M126" s="15"/>
      <c r="N126" s="15"/>
      <c r="O126" s="15"/>
      <c r="P126" s="15"/>
      <c r="Q126" s="15"/>
    </row>
    <row r="127" spans="1:17" hidden="1" x14ac:dyDescent="0.35">
      <c r="A127" s="10">
        <v>124</v>
      </c>
      <c r="B127" s="11" t="s">
        <v>163</v>
      </c>
      <c r="C127" s="11" t="s">
        <v>166</v>
      </c>
      <c r="D127" s="16" t="s">
        <v>32</v>
      </c>
      <c r="E127" s="13" t="s">
        <v>22</v>
      </c>
      <c r="F127" s="13" t="s">
        <v>23</v>
      </c>
      <c r="G127" s="15"/>
      <c r="H127" s="15"/>
      <c r="I127" s="15"/>
      <c r="J127" s="15"/>
      <c r="K127" s="15"/>
      <c r="L127" s="15"/>
      <c r="M127" s="15"/>
      <c r="N127" s="15"/>
      <c r="O127" s="15"/>
      <c r="P127" s="15"/>
      <c r="Q127" s="15"/>
    </row>
    <row r="128" spans="1:17" hidden="1" x14ac:dyDescent="0.35">
      <c r="A128" s="10">
        <v>125</v>
      </c>
      <c r="B128" s="11" t="s">
        <v>163</v>
      </c>
      <c r="C128" s="11" t="s">
        <v>167</v>
      </c>
      <c r="D128" s="16" t="s">
        <v>32</v>
      </c>
      <c r="E128" s="13" t="s">
        <v>22</v>
      </c>
      <c r="F128" s="13" t="s">
        <v>23</v>
      </c>
      <c r="G128" s="15"/>
      <c r="H128" s="15"/>
      <c r="I128" s="15"/>
      <c r="J128" s="15"/>
      <c r="K128" s="15"/>
      <c r="L128" s="15"/>
      <c r="M128" s="15"/>
      <c r="N128" s="15"/>
      <c r="O128" s="15"/>
      <c r="P128" s="15"/>
      <c r="Q128" s="15"/>
    </row>
    <row r="129" spans="1:17" hidden="1" x14ac:dyDescent="0.35">
      <c r="A129" s="10">
        <v>126</v>
      </c>
      <c r="B129" s="11" t="s">
        <v>163</v>
      </c>
      <c r="C129" s="11" t="s">
        <v>168</v>
      </c>
      <c r="D129" s="16" t="s">
        <v>32</v>
      </c>
      <c r="E129" s="13" t="s">
        <v>22</v>
      </c>
      <c r="F129" s="13" t="s">
        <v>23</v>
      </c>
      <c r="G129" s="15"/>
      <c r="H129" s="15"/>
      <c r="I129" s="15"/>
      <c r="J129" s="15"/>
      <c r="K129" s="15"/>
      <c r="L129" s="15"/>
      <c r="M129" s="15"/>
      <c r="N129" s="15"/>
      <c r="O129" s="15"/>
      <c r="P129" s="15"/>
      <c r="Q129" s="15"/>
    </row>
    <row r="130" spans="1:17" hidden="1" x14ac:dyDescent="0.35">
      <c r="A130" s="10">
        <v>127</v>
      </c>
      <c r="B130" s="11" t="s">
        <v>163</v>
      </c>
      <c r="C130" s="11" t="s">
        <v>169</v>
      </c>
      <c r="D130" s="16" t="s">
        <v>32</v>
      </c>
      <c r="E130" s="13" t="s">
        <v>22</v>
      </c>
      <c r="F130" s="13" t="s">
        <v>23</v>
      </c>
      <c r="G130" s="15"/>
      <c r="H130" s="15"/>
      <c r="I130" s="15"/>
      <c r="J130" s="15"/>
      <c r="K130" s="15"/>
      <c r="L130" s="15"/>
      <c r="M130" s="15"/>
      <c r="N130" s="15"/>
      <c r="O130" s="15"/>
      <c r="P130" s="15"/>
      <c r="Q130" s="15"/>
    </row>
    <row r="131" spans="1:17" hidden="1" x14ac:dyDescent="0.35">
      <c r="A131" s="10">
        <v>128</v>
      </c>
      <c r="B131" s="11" t="s">
        <v>163</v>
      </c>
      <c r="C131" s="11" t="s">
        <v>170</v>
      </c>
      <c r="D131" s="16" t="s">
        <v>32</v>
      </c>
      <c r="E131" s="13" t="s">
        <v>22</v>
      </c>
      <c r="F131" s="13" t="s">
        <v>23</v>
      </c>
      <c r="G131" s="15"/>
      <c r="H131" s="15"/>
      <c r="I131" s="15"/>
      <c r="J131" s="15"/>
      <c r="K131" s="15"/>
      <c r="L131" s="15"/>
      <c r="M131" s="15"/>
      <c r="N131" s="15"/>
      <c r="O131" s="15"/>
      <c r="P131" s="15"/>
      <c r="Q131" s="15"/>
    </row>
    <row r="132" spans="1:17" hidden="1" x14ac:dyDescent="0.35">
      <c r="A132" s="10">
        <v>129</v>
      </c>
      <c r="B132" s="11" t="s">
        <v>163</v>
      </c>
      <c r="C132" s="11" t="s">
        <v>171</v>
      </c>
      <c r="D132" s="16" t="s">
        <v>32</v>
      </c>
      <c r="E132" s="13" t="s">
        <v>22</v>
      </c>
      <c r="F132" s="13" t="s">
        <v>23</v>
      </c>
      <c r="G132" s="15"/>
      <c r="H132" s="15"/>
      <c r="I132" s="15"/>
      <c r="J132" s="15"/>
      <c r="K132" s="15"/>
      <c r="L132" s="15"/>
      <c r="M132" s="15"/>
      <c r="N132" s="15"/>
      <c r="O132" s="15"/>
      <c r="P132" s="15"/>
      <c r="Q132" s="15"/>
    </row>
    <row r="133" spans="1:17" hidden="1" x14ac:dyDescent="0.35">
      <c r="A133" s="10">
        <v>130</v>
      </c>
      <c r="B133" s="11" t="s">
        <v>172</v>
      </c>
      <c r="C133" s="11" t="s">
        <v>173</v>
      </c>
      <c r="D133" s="16" t="s">
        <v>32</v>
      </c>
      <c r="E133" s="13" t="s">
        <v>22</v>
      </c>
      <c r="F133" s="13" t="s">
        <v>23</v>
      </c>
      <c r="G133" s="15"/>
      <c r="H133" s="15"/>
      <c r="I133" s="15"/>
      <c r="J133" s="15"/>
      <c r="K133" s="15"/>
      <c r="L133" s="15"/>
      <c r="M133" s="15"/>
      <c r="N133" s="15"/>
      <c r="O133" s="15"/>
      <c r="P133" s="15"/>
      <c r="Q133" s="15"/>
    </row>
    <row r="134" spans="1:17" hidden="1" x14ac:dyDescent="0.35">
      <c r="A134" s="10">
        <v>131</v>
      </c>
      <c r="B134" s="11" t="s">
        <v>172</v>
      </c>
      <c r="C134" s="11" t="s">
        <v>174</v>
      </c>
      <c r="D134" s="16" t="s">
        <v>32</v>
      </c>
      <c r="E134" s="13" t="s">
        <v>22</v>
      </c>
      <c r="F134" s="13" t="s">
        <v>23</v>
      </c>
      <c r="G134" s="15"/>
      <c r="H134" s="15"/>
      <c r="I134" s="15"/>
      <c r="J134" s="15"/>
      <c r="K134" s="15"/>
      <c r="L134" s="15"/>
      <c r="M134" s="15"/>
      <c r="N134" s="15"/>
      <c r="O134" s="15"/>
      <c r="P134" s="15"/>
      <c r="Q134" s="15"/>
    </row>
    <row r="135" spans="1:17" hidden="1" x14ac:dyDescent="0.35">
      <c r="A135" s="10">
        <v>132</v>
      </c>
      <c r="B135" s="11" t="s">
        <v>172</v>
      </c>
      <c r="C135" s="11" t="s">
        <v>175</v>
      </c>
      <c r="D135" s="16" t="s">
        <v>32</v>
      </c>
      <c r="E135" s="13" t="s">
        <v>22</v>
      </c>
      <c r="F135" s="13" t="s">
        <v>23</v>
      </c>
      <c r="G135" s="15"/>
      <c r="H135" s="15"/>
      <c r="I135" s="15"/>
      <c r="J135" s="15"/>
      <c r="K135" s="15"/>
      <c r="L135" s="15"/>
      <c r="M135" s="15"/>
      <c r="N135" s="15"/>
      <c r="O135" s="15"/>
      <c r="P135" s="15"/>
      <c r="Q135" s="15"/>
    </row>
    <row r="136" spans="1:17" hidden="1" x14ac:dyDescent="0.35">
      <c r="A136" s="10">
        <v>133</v>
      </c>
      <c r="B136" s="11" t="s">
        <v>172</v>
      </c>
      <c r="C136" s="11" t="s">
        <v>176</v>
      </c>
      <c r="D136" s="12" t="s">
        <v>21</v>
      </c>
      <c r="E136" s="13" t="s">
        <v>22</v>
      </c>
      <c r="F136" s="13" t="s">
        <v>23</v>
      </c>
      <c r="G136" s="15"/>
      <c r="H136" s="15"/>
      <c r="I136" s="15"/>
      <c r="J136" s="15"/>
      <c r="K136" s="15"/>
      <c r="L136" s="15"/>
      <c r="M136" s="15"/>
      <c r="N136" s="15"/>
      <c r="O136" s="15"/>
      <c r="P136" s="15"/>
      <c r="Q136" s="15"/>
    </row>
    <row r="137" spans="1:17" hidden="1" x14ac:dyDescent="0.35">
      <c r="A137" s="10">
        <v>134</v>
      </c>
      <c r="B137" s="11" t="s">
        <v>172</v>
      </c>
      <c r="C137" s="11" t="s">
        <v>177</v>
      </c>
      <c r="D137" s="16" t="s">
        <v>32</v>
      </c>
      <c r="E137" s="13" t="s">
        <v>22</v>
      </c>
      <c r="F137" s="13" t="s">
        <v>23</v>
      </c>
      <c r="G137" s="15"/>
      <c r="H137" s="15"/>
      <c r="I137" s="15"/>
      <c r="J137" s="15"/>
      <c r="K137" s="15"/>
      <c r="L137" s="15"/>
      <c r="M137" s="15"/>
      <c r="N137" s="15"/>
      <c r="O137" s="15"/>
      <c r="P137" s="15"/>
      <c r="Q137" s="15"/>
    </row>
    <row r="138" spans="1:17" hidden="1" x14ac:dyDescent="0.35">
      <c r="A138" s="10">
        <v>135</v>
      </c>
      <c r="B138" s="11" t="s">
        <v>172</v>
      </c>
      <c r="C138" s="11" t="s">
        <v>178</v>
      </c>
      <c r="D138" s="17" t="s">
        <v>44</v>
      </c>
      <c r="E138" s="13" t="s">
        <v>22</v>
      </c>
      <c r="F138" s="13" t="s">
        <v>23</v>
      </c>
      <c r="G138" s="15"/>
      <c r="H138" s="15"/>
      <c r="I138" s="15"/>
      <c r="J138" s="15"/>
      <c r="K138" s="15"/>
      <c r="L138" s="15"/>
      <c r="M138" s="15"/>
      <c r="N138" s="15"/>
      <c r="O138" s="15"/>
      <c r="P138" s="15"/>
      <c r="Q138" s="15"/>
    </row>
    <row r="139" spans="1:17" hidden="1" x14ac:dyDescent="0.35">
      <c r="A139" s="10">
        <v>136</v>
      </c>
      <c r="B139" s="11" t="s">
        <v>179</v>
      </c>
      <c r="C139" s="11" t="s">
        <v>180</v>
      </c>
      <c r="D139" s="16" t="s">
        <v>32</v>
      </c>
      <c r="E139" s="13" t="s">
        <v>22</v>
      </c>
      <c r="F139" s="13" t="s">
        <v>23</v>
      </c>
      <c r="G139" s="15"/>
      <c r="H139" s="15"/>
      <c r="I139" s="15"/>
      <c r="J139" s="15"/>
      <c r="K139" s="15"/>
      <c r="L139" s="15"/>
      <c r="M139" s="15"/>
      <c r="N139" s="15"/>
      <c r="O139" s="15"/>
      <c r="P139" s="15"/>
      <c r="Q139" s="15"/>
    </row>
    <row r="140" spans="1:17" hidden="1" x14ac:dyDescent="0.35">
      <c r="A140" s="10">
        <v>137</v>
      </c>
      <c r="B140" s="11" t="s">
        <v>179</v>
      </c>
      <c r="C140" s="11" t="s">
        <v>181</v>
      </c>
      <c r="D140" s="16" t="s">
        <v>32</v>
      </c>
      <c r="E140" s="13" t="s">
        <v>22</v>
      </c>
      <c r="F140" s="13" t="s">
        <v>23</v>
      </c>
      <c r="G140" s="15"/>
      <c r="H140" s="15"/>
      <c r="I140" s="15"/>
      <c r="J140" s="15"/>
      <c r="K140" s="15"/>
      <c r="L140" s="15"/>
      <c r="M140" s="15"/>
      <c r="N140" s="15"/>
      <c r="O140" s="15"/>
      <c r="P140" s="15"/>
      <c r="Q140" s="15"/>
    </row>
    <row r="141" spans="1:17" hidden="1" x14ac:dyDescent="0.35">
      <c r="A141" s="10">
        <v>138</v>
      </c>
      <c r="B141" s="11" t="s">
        <v>179</v>
      </c>
      <c r="C141" s="11" t="s">
        <v>182</v>
      </c>
      <c r="D141" s="16" t="s">
        <v>32</v>
      </c>
      <c r="E141" s="13" t="s">
        <v>22</v>
      </c>
      <c r="F141" s="13" t="s">
        <v>23</v>
      </c>
      <c r="G141" s="15"/>
      <c r="H141" s="15"/>
      <c r="I141" s="15"/>
      <c r="J141" s="15"/>
      <c r="K141" s="15"/>
      <c r="L141" s="15"/>
      <c r="M141" s="15"/>
      <c r="N141" s="15"/>
      <c r="O141" s="15"/>
      <c r="P141" s="15"/>
      <c r="Q141" s="15"/>
    </row>
    <row r="142" spans="1:17" hidden="1" x14ac:dyDescent="0.35">
      <c r="A142" s="10">
        <v>139</v>
      </c>
      <c r="B142" s="11" t="s">
        <v>179</v>
      </c>
      <c r="C142" s="11" t="s">
        <v>183</v>
      </c>
      <c r="D142" s="12" t="s">
        <v>21</v>
      </c>
      <c r="E142" s="13" t="s">
        <v>22</v>
      </c>
      <c r="F142" s="13" t="s">
        <v>23</v>
      </c>
      <c r="G142" s="15"/>
      <c r="H142" s="15"/>
      <c r="I142" s="15"/>
      <c r="J142" s="15"/>
      <c r="K142" s="15"/>
      <c r="L142" s="15"/>
      <c r="M142" s="15"/>
      <c r="N142" s="15"/>
      <c r="O142" s="15"/>
      <c r="P142" s="15"/>
      <c r="Q142" s="15"/>
    </row>
    <row r="143" spans="1:17" hidden="1" x14ac:dyDescent="0.35">
      <c r="A143" s="10">
        <v>140</v>
      </c>
      <c r="B143" s="11" t="s">
        <v>179</v>
      </c>
      <c r="C143" s="11" t="s">
        <v>184</v>
      </c>
      <c r="D143" s="12" t="s">
        <v>21</v>
      </c>
      <c r="E143" s="13" t="s">
        <v>22</v>
      </c>
      <c r="F143" s="13" t="s">
        <v>23</v>
      </c>
      <c r="G143" s="15"/>
      <c r="H143" s="15"/>
      <c r="I143" s="15"/>
      <c r="J143" s="15"/>
      <c r="K143" s="15"/>
      <c r="L143" s="15"/>
      <c r="M143" s="15"/>
      <c r="N143" s="15"/>
      <c r="O143" s="15"/>
      <c r="P143" s="15"/>
      <c r="Q143" s="15"/>
    </row>
    <row r="144" spans="1:17" hidden="1" x14ac:dyDescent="0.35">
      <c r="A144" s="10">
        <v>141</v>
      </c>
      <c r="B144" s="11" t="s">
        <v>179</v>
      </c>
      <c r="C144" s="11" t="s">
        <v>185</v>
      </c>
      <c r="D144" s="16" t="s">
        <v>32</v>
      </c>
      <c r="E144" s="13" t="s">
        <v>22</v>
      </c>
      <c r="F144" s="13" t="s">
        <v>23</v>
      </c>
      <c r="G144" s="15"/>
      <c r="H144" s="15"/>
      <c r="I144" s="15"/>
      <c r="J144" s="15"/>
      <c r="K144" s="15"/>
      <c r="L144" s="15"/>
      <c r="M144" s="15"/>
      <c r="N144" s="15"/>
      <c r="O144" s="15"/>
      <c r="P144" s="15"/>
      <c r="Q144" s="15"/>
    </row>
    <row r="145" spans="1:17" hidden="1" x14ac:dyDescent="0.35">
      <c r="A145" s="10">
        <v>142</v>
      </c>
      <c r="B145" s="11" t="s">
        <v>179</v>
      </c>
      <c r="C145" s="11" t="s">
        <v>186</v>
      </c>
      <c r="D145" s="16" t="s">
        <v>32</v>
      </c>
      <c r="E145" s="13" t="s">
        <v>22</v>
      </c>
      <c r="F145" s="13" t="s">
        <v>23</v>
      </c>
      <c r="G145" s="15"/>
      <c r="H145" s="15"/>
      <c r="I145" s="15"/>
      <c r="J145" s="15"/>
      <c r="K145" s="15"/>
      <c r="L145" s="15"/>
      <c r="M145" s="15"/>
      <c r="N145" s="15"/>
      <c r="O145" s="15"/>
      <c r="P145" s="15"/>
      <c r="Q145" s="15"/>
    </row>
    <row r="146" spans="1:17" hidden="1" x14ac:dyDescent="0.35">
      <c r="A146" s="10">
        <v>143</v>
      </c>
      <c r="B146" s="11" t="s">
        <v>179</v>
      </c>
      <c r="C146" s="11" t="s">
        <v>187</v>
      </c>
      <c r="D146" s="16" t="s">
        <v>32</v>
      </c>
      <c r="E146" s="13" t="s">
        <v>22</v>
      </c>
      <c r="F146" s="13" t="s">
        <v>23</v>
      </c>
      <c r="G146" s="15"/>
      <c r="H146" s="15"/>
      <c r="I146" s="15"/>
      <c r="J146" s="15"/>
      <c r="K146" s="15"/>
      <c r="L146" s="15"/>
      <c r="M146" s="15"/>
      <c r="N146" s="15"/>
      <c r="O146" s="15"/>
      <c r="P146" s="15"/>
      <c r="Q146" s="15"/>
    </row>
    <row r="147" spans="1:17" hidden="1" x14ac:dyDescent="0.35">
      <c r="A147" s="10">
        <v>144</v>
      </c>
      <c r="B147" s="11" t="s">
        <v>188</v>
      </c>
      <c r="C147" s="11" t="s">
        <v>189</v>
      </c>
      <c r="D147" s="12" t="s">
        <v>21</v>
      </c>
      <c r="E147" s="13" t="s">
        <v>22</v>
      </c>
      <c r="F147" s="13" t="s">
        <v>23</v>
      </c>
      <c r="G147" s="15"/>
      <c r="H147" s="15"/>
      <c r="I147" s="15"/>
      <c r="J147" s="15"/>
      <c r="K147" s="15"/>
      <c r="L147" s="15"/>
      <c r="M147" s="15"/>
      <c r="N147" s="15"/>
      <c r="O147" s="15"/>
      <c r="P147" s="15"/>
      <c r="Q147" s="15"/>
    </row>
    <row r="148" spans="1:17" hidden="1" x14ac:dyDescent="0.35">
      <c r="A148" s="10">
        <v>145</v>
      </c>
      <c r="B148" s="11" t="s">
        <v>188</v>
      </c>
      <c r="C148" s="11" t="s">
        <v>190</v>
      </c>
      <c r="D148" s="12" t="s">
        <v>21</v>
      </c>
      <c r="E148" s="13" t="s">
        <v>22</v>
      </c>
      <c r="F148" s="13" t="s">
        <v>23</v>
      </c>
      <c r="G148" s="15"/>
      <c r="H148" s="15"/>
      <c r="I148" s="15"/>
      <c r="J148" s="15"/>
      <c r="K148" s="15"/>
      <c r="L148" s="15"/>
      <c r="M148" s="15"/>
      <c r="N148" s="15"/>
      <c r="O148" s="15"/>
      <c r="P148" s="15"/>
      <c r="Q148" s="15"/>
    </row>
    <row r="149" spans="1:17" hidden="1" x14ac:dyDescent="0.35">
      <c r="A149" s="10">
        <v>146</v>
      </c>
      <c r="B149" s="11" t="s">
        <v>188</v>
      </c>
      <c r="C149" s="11" t="s">
        <v>191</v>
      </c>
      <c r="D149" s="12" t="s">
        <v>21</v>
      </c>
      <c r="E149" s="13" t="s">
        <v>22</v>
      </c>
      <c r="F149" s="13" t="s">
        <v>23</v>
      </c>
      <c r="G149" s="15"/>
      <c r="H149" s="15"/>
      <c r="I149" s="15"/>
      <c r="J149" s="15"/>
      <c r="K149" s="15"/>
      <c r="L149" s="15"/>
      <c r="M149" s="15"/>
      <c r="N149" s="15"/>
      <c r="O149" s="15"/>
      <c r="P149" s="15"/>
      <c r="Q149" s="15"/>
    </row>
    <row r="150" spans="1:17" hidden="1" x14ac:dyDescent="0.35">
      <c r="A150" s="10">
        <v>147</v>
      </c>
      <c r="B150" s="11" t="s">
        <v>188</v>
      </c>
      <c r="C150" s="11" t="s">
        <v>192</v>
      </c>
      <c r="D150" s="12" t="s">
        <v>21</v>
      </c>
      <c r="E150" s="13" t="s">
        <v>22</v>
      </c>
      <c r="F150" s="13" t="s">
        <v>23</v>
      </c>
      <c r="G150" s="15"/>
      <c r="H150" s="15"/>
      <c r="I150" s="15"/>
      <c r="J150" s="15"/>
      <c r="K150" s="15"/>
      <c r="L150" s="15"/>
      <c r="M150" s="15"/>
      <c r="N150" s="15"/>
      <c r="O150" s="15"/>
      <c r="P150" s="15"/>
      <c r="Q150" s="15"/>
    </row>
    <row r="151" spans="1:17" hidden="1" x14ac:dyDescent="0.35">
      <c r="A151" s="10">
        <v>148</v>
      </c>
      <c r="B151" s="11" t="s">
        <v>188</v>
      </c>
      <c r="C151" s="11" t="s">
        <v>193</v>
      </c>
      <c r="D151" s="12" t="s">
        <v>21</v>
      </c>
      <c r="E151" s="13" t="s">
        <v>22</v>
      </c>
      <c r="F151" s="13" t="s">
        <v>23</v>
      </c>
      <c r="G151" s="15"/>
      <c r="H151" s="15"/>
      <c r="I151" s="15"/>
      <c r="J151" s="15"/>
      <c r="K151" s="15"/>
      <c r="L151" s="15"/>
      <c r="M151" s="15"/>
      <c r="N151" s="15"/>
      <c r="O151" s="15"/>
      <c r="P151" s="15"/>
      <c r="Q151" s="15"/>
    </row>
    <row r="152" spans="1:17" hidden="1" x14ac:dyDescent="0.35">
      <c r="A152" s="10">
        <v>149</v>
      </c>
      <c r="B152" s="11" t="s">
        <v>188</v>
      </c>
      <c r="C152" s="11" t="s">
        <v>194</v>
      </c>
      <c r="D152" s="16" t="s">
        <v>32</v>
      </c>
      <c r="E152" s="13" t="s">
        <v>22</v>
      </c>
      <c r="F152" s="13" t="s">
        <v>23</v>
      </c>
      <c r="G152" s="15"/>
      <c r="H152" s="15"/>
      <c r="I152" s="15"/>
      <c r="J152" s="15"/>
      <c r="K152" s="15"/>
      <c r="L152" s="15"/>
      <c r="M152" s="15"/>
      <c r="N152" s="15"/>
      <c r="O152" s="15"/>
      <c r="P152" s="15"/>
      <c r="Q152" s="15"/>
    </row>
    <row r="153" spans="1:17" hidden="1" x14ac:dyDescent="0.35">
      <c r="A153" s="10">
        <v>150</v>
      </c>
      <c r="B153" s="11" t="s">
        <v>188</v>
      </c>
      <c r="C153" s="11" t="s">
        <v>195</v>
      </c>
      <c r="D153" s="16" t="s">
        <v>32</v>
      </c>
      <c r="E153" s="13" t="s">
        <v>22</v>
      </c>
      <c r="F153" s="13" t="s">
        <v>23</v>
      </c>
      <c r="G153" s="15"/>
      <c r="H153" s="15"/>
      <c r="I153" s="15"/>
      <c r="J153" s="15"/>
      <c r="K153" s="15"/>
      <c r="L153" s="15"/>
      <c r="M153" s="15"/>
      <c r="N153" s="15"/>
      <c r="O153" s="15"/>
      <c r="P153" s="15"/>
      <c r="Q153" s="15"/>
    </row>
  </sheetData>
  <autoFilter ref="A3:Q153" xr:uid="{00000000-0001-0000-0000-000000000000}">
    <filterColumn colId="8">
      <filters>
        <filter val="N"/>
      </filters>
    </filterColumn>
  </autoFilter>
  <mergeCells count="2">
    <mergeCell ref="A1:Q1"/>
    <mergeCell ref="A2:Q2"/>
  </mergeCells>
  <dataValidations count="3">
    <dataValidation type="list" allowBlank="1" sqref="I4:J153 M4:M153 O4:O153" xr:uid="{00000000-0002-0000-0000-000000000000}">
      <formula1>"Y,N"</formula1>
      <formula2>0</formula2>
    </dataValidation>
    <dataValidation type="list" allowBlank="1" sqref="P4:P153" xr:uid="{00000000-0002-0000-0000-000001000000}">
      <formula1>"1,2,3,4,5"</formula1>
      <formula2>0</formula2>
    </dataValidation>
    <dataValidation type="list" allowBlank="1" sqref="Q4:Q153" xr:uid="{00000000-0002-0000-0000-000002000000}">
      <formula1>"Not Started,Attempted,Solved with Help,Solved Independently,Mastered"</formula1>
      <formula2>0</formula2>
    </dataValidation>
  </dataValidations>
  <hyperlinks>
    <hyperlink ref="E4" r:id="rId1" xr:uid="{00000000-0004-0000-0000-000000000000}"/>
    <hyperlink ref="F4" r:id="rId2" xr:uid="{00000000-0004-0000-0000-000001000000}"/>
    <hyperlink ref="E5" r:id="rId3" xr:uid="{00000000-0004-0000-0000-000002000000}"/>
    <hyperlink ref="F5" r:id="rId4" xr:uid="{00000000-0004-0000-0000-000003000000}"/>
    <hyperlink ref="E6" r:id="rId5" xr:uid="{00000000-0004-0000-0000-000004000000}"/>
    <hyperlink ref="F6" r:id="rId6" xr:uid="{00000000-0004-0000-0000-000005000000}"/>
    <hyperlink ref="E7" r:id="rId7" xr:uid="{00000000-0004-0000-0000-000006000000}"/>
    <hyperlink ref="F7" r:id="rId8" xr:uid="{00000000-0004-0000-0000-000007000000}"/>
    <hyperlink ref="E8" r:id="rId9" xr:uid="{00000000-0004-0000-0000-000008000000}"/>
    <hyperlink ref="F8" r:id="rId10" xr:uid="{00000000-0004-0000-0000-000009000000}"/>
    <hyperlink ref="E9" r:id="rId11" xr:uid="{00000000-0004-0000-0000-00000A000000}"/>
    <hyperlink ref="F9" r:id="rId12" xr:uid="{00000000-0004-0000-0000-00000B000000}"/>
    <hyperlink ref="E10" r:id="rId13" xr:uid="{00000000-0004-0000-0000-00000C000000}"/>
    <hyperlink ref="F10" r:id="rId14" xr:uid="{00000000-0004-0000-0000-00000D000000}"/>
    <hyperlink ref="E11" r:id="rId15" xr:uid="{00000000-0004-0000-0000-00000E000000}"/>
    <hyperlink ref="F11" r:id="rId16" xr:uid="{00000000-0004-0000-0000-00000F000000}"/>
    <hyperlink ref="E12" r:id="rId17" xr:uid="{00000000-0004-0000-0000-000010000000}"/>
    <hyperlink ref="F12" r:id="rId18" xr:uid="{00000000-0004-0000-0000-000011000000}"/>
    <hyperlink ref="E13" r:id="rId19" xr:uid="{00000000-0004-0000-0000-000012000000}"/>
    <hyperlink ref="F13" r:id="rId20" xr:uid="{00000000-0004-0000-0000-000013000000}"/>
    <hyperlink ref="E14" r:id="rId21" xr:uid="{00000000-0004-0000-0000-000014000000}"/>
    <hyperlink ref="F14" r:id="rId22" xr:uid="{00000000-0004-0000-0000-000015000000}"/>
    <hyperlink ref="E15" r:id="rId23" xr:uid="{00000000-0004-0000-0000-000016000000}"/>
    <hyperlink ref="F15" r:id="rId24" xr:uid="{00000000-0004-0000-0000-000017000000}"/>
    <hyperlink ref="E16" r:id="rId25" xr:uid="{00000000-0004-0000-0000-000018000000}"/>
    <hyperlink ref="F16" r:id="rId26" xr:uid="{00000000-0004-0000-0000-000019000000}"/>
    <hyperlink ref="E17" r:id="rId27" xr:uid="{00000000-0004-0000-0000-00001A000000}"/>
    <hyperlink ref="F17" r:id="rId28" xr:uid="{00000000-0004-0000-0000-00001B000000}"/>
    <hyperlink ref="E18" r:id="rId29" xr:uid="{00000000-0004-0000-0000-00001C000000}"/>
    <hyperlink ref="F18" r:id="rId30" xr:uid="{00000000-0004-0000-0000-00001D000000}"/>
    <hyperlink ref="E19" r:id="rId31" xr:uid="{00000000-0004-0000-0000-00001E000000}"/>
    <hyperlink ref="F19" r:id="rId32" xr:uid="{00000000-0004-0000-0000-00001F000000}"/>
    <hyperlink ref="E20" r:id="rId33" xr:uid="{00000000-0004-0000-0000-000020000000}"/>
    <hyperlink ref="F20" r:id="rId34" xr:uid="{00000000-0004-0000-0000-000021000000}"/>
    <hyperlink ref="E21" r:id="rId35" xr:uid="{00000000-0004-0000-0000-000022000000}"/>
    <hyperlink ref="F21" r:id="rId36" xr:uid="{00000000-0004-0000-0000-000023000000}"/>
    <hyperlink ref="E22" r:id="rId37" xr:uid="{00000000-0004-0000-0000-000024000000}"/>
    <hyperlink ref="F22" r:id="rId38" xr:uid="{00000000-0004-0000-0000-000025000000}"/>
    <hyperlink ref="E23" r:id="rId39" xr:uid="{00000000-0004-0000-0000-000026000000}"/>
    <hyperlink ref="F23" r:id="rId40" xr:uid="{00000000-0004-0000-0000-000027000000}"/>
    <hyperlink ref="E24" r:id="rId41" xr:uid="{00000000-0004-0000-0000-000028000000}"/>
    <hyperlink ref="F24" r:id="rId42" xr:uid="{00000000-0004-0000-0000-000029000000}"/>
    <hyperlink ref="E25" r:id="rId43" xr:uid="{00000000-0004-0000-0000-00002A000000}"/>
    <hyperlink ref="F25" r:id="rId44" xr:uid="{00000000-0004-0000-0000-00002B000000}"/>
    <hyperlink ref="E26" r:id="rId45" xr:uid="{00000000-0004-0000-0000-00002C000000}"/>
    <hyperlink ref="F26" r:id="rId46" xr:uid="{00000000-0004-0000-0000-00002D000000}"/>
    <hyperlink ref="E27" r:id="rId47" xr:uid="{00000000-0004-0000-0000-00002E000000}"/>
    <hyperlink ref="F27" r:id="rId48" xr:uid="{00000000-0004-0000-0000-00002F000000}"/>
    <hyperlink ref="E28" r:id="rId49" xr:uid="{00000000-0004-0000-0000-000030000000}"/>
    <hyperlink ref="F28" r:id="rId50" xr:uid="{00000000-0004-0000-0000-000031000000}"/>
    <hyperlink ref="E29" r:id="rId51" xr:uid="{00000000-0004-0000-0000-000032000000}"/>
    <hyperlink ref="F29" r:id="rId52" xr:uid="{00000000-0004-0000-0000-000033000000}"/>
    <hyperlink ref="E30" r:id="rId53" xr:uid="{00000000-0004-0000-0000-000034000000}"/>
    <hyperlink ref="F30" r:id="rId54" xr:uid="{00000000-0004-0000-0000-000035000000}"/>
    <hyperlink ref="E31" r:id="rId55" xr:uid="{00000000-0004-0000-0000-000036000000}"/>
    <hyperlink ref="F31" r:id="rId56" xr:uid="{00000000-0004-0000-0000-000037000000}"/>
    <hyperlink ref="E32" r:id="rId57" xr:uid="{00000000-0004-0000-0000-000038000000}"/>
    <hyperlink ref="F32" r:id="rId58" xr:uid="{00000000-0004-0000-0000-000039000000}"/>
    <hyperlink ref="E33" r:id="rId59" xr:uid="{00000000-0004-0000-0000-00003A000000}"/>
    <hyperlink ref="F33" r:id="rId60" xr:uid="{00000000-0004-0000-0000-00003B000000}"/>
    <hyperlink ref="E34" r:id="rId61" xr:uid="{00000000-0004-0000-0000-00003C000000}"/>
    <hyperlink ref="F34" r:id="rId62" xr:uid="{00000000-0004-0000-0000-00003D000000}"/>
    <hyperlink ref="E35" r:id="rId63" xr:uid="{00000000-0004-0000-0000-00003E000000}"/>
    <hyperlink ref="F35" r:id="rId64" xr:uid="{00000000-0004-0000-0000-00003F000000}"/>
    <hyperlink ref="E36" r:id="rId65" xr:uid="{00000000-0004-0000-0000-000040000000}"/>
    <hyperlink ref="F36" r:id="rId66" xr:uid="{00000000-0004-0000-0000-000041000000}"/>
    <hyperlink ref="E37" r:id="rId67" xr:uid="{00000000-0004-0000-0000-000042000000}"/>
    <hyperlink ref="F37" r:id="rId68" xr:uid="{00000000-0004-0000-0000-000043000000}"/>
    <hyperlink ref="E38" r:id="rId69" xr:uid="{00000000-0004-0000-0000-000044000000}"/>
    <hyperlink ref="F38" r:id="rId70" xr:uid="{00000000-0004-0000-0000-000045000000}"/>
    <hyperlink ref="E39" r:id="rId71" xr:uid="{00000000-0004-0000-0000-000046000000}"/>
    <hyperlink ref="F39" r:id="rId72" xr:uid="{00000000-0004-0000-0000-000047000000}"/>
    <hyperlink ref="E40" r:id="rId73" xr:uid="{00000000-0004-0000-0000-000048000000}"/>
    <hyperlink ref="F40" r:id="rId74" xr:uid="{00000000-0004-0000-0000-000049000000}"/>
    <hyperlink ref="E41" r:id="rId75" xr:uid="{00000000-0004-0000-0000-00004A000000}"/>
    <hyperlink ref="F41" r:id="rId76" xr:uid="{00000000-0004-0000-0000-00004B000000}"/>
    <hyperlink ref="E42" r:id="rId77" xr:uid="{00000000-0004-0000-0000-00004C000000}"/>
    <hyperlink ref="F42" r:id="rId78" xr:uid="{00000000-0004-0000-0000-00004D000000}"/>
    <hyperlink ref="E43" r:id="rId79" xr:uid="{00000000-0004-0000-0000-00004E000000}"/>
    <hyperlink ref="F43" r:id="rId80" xr:uid="{00000000-0004-0000-0000-00004F000000}"/>
    <hyperlink ref="E44" r:id="rId81" xr:uid="{00000000-0004-0000-0000-000050000000}"/>
    <hyperlink ref="F44" r:id="rId82" xr:uid="{00000000-0004-0000-0000-000051000000}"/>
    <hyperlink ref="E45" r:id="rId83" xr:uid="{00000000-0004-0000-0000-000052000000}"/>
    <hyperlink ref="F45" r:id="rId84" xr:uid="{00000000-0004-0000-0000-000053000000}"/>
    <hyperlink ref="E46" r:id="rId85" xr:uid="{00000000-0004-0000-0000-000054000000}"/>
    <hyperlink ref="F46" r:id="rId86" xr:uid="{00000000-0004-0000-0000-000055000000}"/>
    <hyperlink ref="E47" r:id="rId87" xr:uid="{00000000-0004-0000-0000-000056000000}"/>
    <hyperlink ref="F47" r:id="rId88" xr:uid="{00000000-0004-0000-0000-000057000000}"/>
    <hyperlink ref="E48" r:id="rId89" xr:uid="{00000000-0004-0000-0000-000058000000}"/>
    <hyperlink ref="F48" r:id="rId90" xr:uid="{00000000-0004-0000-0000-000059000000}"/>
    <hyperlink ref="E49" r:id="rId91" xr:uid="{00000000-0004-0000-0000-00005A000000}"/>
    <hyperlink ref="F49" r:id="rId92" xr:uid="{00000000-0004-0000-0000-00005B000000}"/>
    <hyperlink ref="E50" r:id="rId93" xr:uid="{00000000-0004-0000-0000-00005C000000}"/>
    <hyperlink ref="F50" r:id="rId94" xr:uid="{00000000-0004-0000-0000-00005D000000}"/>
    <hyperlink ref="E51" r:id="rId95" xr:uid="{00000000-0004-0000-0000-00005E000000}"/>
    <hyperlink ref="F51" r:id="rId96" xr:uid="{00000000-0004-0000-0000-00005F000000}"/>
    <hyperlink ref="E52" r:id="rId97" xr:uid="{00000000-0004-0000-0000-000060000000}"/>
    <hyperlink ref="F52" r:id="rId98" xr:uid="{00000000-0004-0000-0000-000061000000}"/>
    <hyperlink ref="E53" r:id="rId99" xr:uid="{00000000-0004-0000-0000-000062000000}"/>
    <hyperlink ref="F53" r:id="rId100" xr:uid="{00000000-0004-0000-0000-000063000000}"/>
    <hyperlink ref="E54" r:id="rId101" xr:uid="{00000000-0004-0000-0000-000064000000}"/>
    <hyperlink ref="F54" r:id="rId102" xr:uid="{00000000-0004-0000-0000-000065000000}"/>
    <hyperlink ref="E55" r:id="rId103" xr:uid="{00000000-0004-0000-0000-000066000000}"/>
    <hyperlink ref="F55" r:id="rId104" xr:uid="{00000000-0004-0000-0000-000067000000}"/>
    <hyperlink ref="E56" r:id="rId105" xr:uid="{00000000-0004-0000-0000-000068000000}"/>
    <hyperlink ref="F56" r:id="rId106" xr:uid="{00000000-0004-0000-0000-000069000000}"/>
    <hyperlink ref="E57" r:id="rId107" xr:uid="{00000000-0004-0000-0000-00006A000000}"/>
    <hyperlink ref="F57" r:id="rId108" xr:uid="{00000000-0004-0000-0000-00006B000000}"/>
    <hyperlink ref="E58" r:id="rId109" xr:uid="{00000000-0004-0000-0000-00006C000000}"/>
    <hyperlink ref="F58" r:id="rId110" xr:uid="{00000000-0004-0000-0000-00006D000000}"/>
    <hyperlink ref="E59" r:id="rId111" xr:uid="{00000000-0004-0000-0000-00006E000000}"/>
    <hyperlink ref="F59" r:id="rId112" xr:uid="{00000000-0004-0000-0000-00006F000000}"/>
    <hyperlink ref="E60" r:id="rId113" xr:uid="{00000000-0004-0000-0000-000070000000}"/>
    <hyperlink ref="F60" r:id="rId114" xr:uid="{00000000-0004-0000-0000-000071000000}"/>
    <hyperlink ref="E61" r:id="rId115" xr:uid="{00000000-0004-0000-0000-000072000000}"/>
    <hyperlink ref="F61" r:id="rId116" xr:uid="{00000000-0004-0000-0000-000073000000}"/>
    <hyperlink ref="E62" r:id="rId117" xr:uid="{00000000-0004-0000-0000-000074000000}"/>
    <hyperlink ref="F62" r:id="rId118" xr:uid="{00000000-0004-0000-0000-000075000000}"/>
    <hyperlink ref="E63" r:id="rId119" xr:uid="{00000000-0004-0000-0000-000076000000}"/>
    <hyperlink ref="F63" r:id="rId120" xr:uid="{00000000-0004-0000-0000-000077000000}"/>
    <hyperlink ref="E64" r:id="rId121" xr:uid="{00000000-0004-0000-0000-000078000000}"/>
    <hyperlink ref="F64" r:id="rId122" xr:uid="{00000000-0004-0000-0000-000079000000}"/>
    <hyperlink ref="E65" r:id="rId123" xr:uid="{00000000-0004-0000-0000-00007A000000}"/>
    <hyperlink ref="F65" r:id="rId124" xr:uid="{00000000-0004-0000-0000-00007B000000}"/>
    <hyperlink ref="E66" r:id="rId125" xr:uid="{00000000-0004-0000-0000-00007C000000}"/>
    <hyperlink ref="F66" r:id="rId126" xr:uid="{00000000-0004-0000-0000-00007D000000}"/>
    <hyperlink ref="E67" r:id="rId127" xr:uid="{00000000-0004-0000-0000-00007E000000}"/>
    <hyperlink ref="F67" r:id="rId128" xr:uid="{00000000-0004-0000-0000-00007F000000}"/>
    <hyperlink ref="E68" r:id="rId129" xr:uid="{00000000-0004-0000-0000-000080000000}"/>
    <hyperlink ref="F68" r:id="rId130" xr:uid="{00000000-0004-0000-0000-000081000000}"/>
    <hyperlink ref="E69" r:id="rId131" xr:uid="{00000000-0004-0000-0000-000082000000}"/>
    <hyperlink ref="F69" r:id="rId132" xr:uid="{00000000-0004-0000-0000-000083000000}"/>
    <hyperlink ref="E70" r:id="rId133" xr:uid="{00000000-0004-0000-0000-000084000000}"/>
    <hyperlink ref="F70" r:id="rId134" xr:uid="{00000000-0004-0000-0000-000085000000}"/>
    <hyperlink ref="E71" r:id="rId135" xr:uid="{00000000-0004-0000-0000-000086000000}"/>
    <hyperlink ref="F71" r:id="rId136" xr:uid="{00000000-0004-0000-0000-000087000000}"/>
    <hyperlink ref="E72" r:id="rId137" xr:uid="{00000000-0004-0000-0000-000088000000}"/>
    <hyperlink ref="F72" r:id="rId138" xr:uid="{00000000-0004-0000-0000-000089000000}"/>
    <hyperlink ref="E73" r:id="rId139" xr:uid="{00000000-0004-0000-0000-00008A000000}"/>
    <hyperlink ref="F73" r:id="rId140" xr:uid="{00000000-0004-0000-0000-00008B000000}"/>
    <hyperlink ref="E74" r:id="rId141" xr:uid="{00000000-0004-0000-0000-00008C000000}"/>
    <hyperlink ref="F74" r:id="rId142" xr:uid="{00000000-0004-0000-0000-00008D000000}"/>
    <hyperlink ref="E75" r:id="rId143" xr:uid="{00000000-0004-0000-0000-00008E000000}"/>
    <hyperlink ref="F75" r:id="rId144" xr:uid="{00000000-0004-0000-0000-00008F000000}"/>
    <hyperlink ref="E76" r:id="rId145" xr:uid="{00000000-0004-0000-0000-000090000000}"/>
    <hyperlink ref="F76" r:id="rId146" xr:uid="{00000000-0004-0000-0000-000091000000}"/>
    <hyperlink ref="E77" r:id="rId147" xr:uid="{00000000-0004-0000-0000-000092000000}"/>
    <hyperlink ref="F77" r:id="rId148" xr:uid="{00000000-0004-0000-0000-000093000000}"/>
    <hyperlink ref="E78" r:id="rId149" xr:uid="{00000000-0004-0000-0000-000094000000}"/>
    <hyperlink ref="F78" r:id="rId150" xr:uid="{00000000-0004-0000-0000-000095000000}"/>
    <hyperlink ref="E79" r:id="rId151" xr:uid="{00000000-0004-0000-0000-000096000000}"/>
    <hyperlink ref="F79" r:id="rId152" xr:uid="{00000000-0004-0000-0000-000097000000}"/>
    <hyperlink ref="E80" r:id="rId153" xr:uid="{00000000-0004-0000-0000-000098000000}"/>
    <hyperlink ref="F80" r:id="rId154" xr:uid="{00000000-0004-0000-0000-000099000000}"/>
    <hyperlink ref="E81" r:id="rId155" xr:uid="{00000000-0004-0000-0000-00009A000000}"/>
    <hyperlink ref="F81" r:id="rId156" xr:uid="{00000000-0004-0000-0000-00009B000000}"/>
    <hyperlink ref="E82" r:id="rId157" xr:uid="{00000000-0004-0000-0000-00009C000000}"/>
    <hyperlink ref="F82" r:id="rId158" xr:uid="{00000000-0004-0000-0000-00009D000000}"/>
    <hyperlink ref="E83" r:id="rId159" xr:uid="{00000000-0004-0000-0000-00009E000000}"/>
    <hyperlink ref="F83" r:id="rId160" xr:uid="{00000000-0004-0000-0000-00009F000000}"/>
    <hyperlink ref="E84" r:id="rId161" xr:uid="{00000000-0004-0000-0000-0000A0000000}"/>
    <hyperlink ref="F84" r:id="rId162" xr:uid="{00000000-0004-0000-0000-0000A1000000}"/>
    <hyperlink ref="E85" r:id="rId163" xr:uid="{00000000-0004-0000-0000-0000A2000000}"/>
    <hyperlink ref="F85" r:id="rId164" xr:uid="{00000000-0004-0000-0000-0000A3000000}"/>
    <hyperlink ref="E86" r:id="rId165" xr:uid="{00000000-0004-0000-0000-0000A4000000}"/>
    <hyperlink ref="F86" r:id="rId166" xr:uid="{00000000-0004-0000-0000-0000A5000000}"/>
    <hyperlink ref="E87" r:id="rId167" xr:uid="{00000000-0004-0000-0000-0000A6000000}"/>
    <hyperlink ref="F87" r:id="rId168" xr:uid="{00000000-0004-0000-0000-0000A7000000}"/>
    <hyperlink ref="E88" r:id="rId169" xr:uid="{00000000-0004-0000-0000-0000A8000000}"/>
    <hyperlink ref="F88" r:id="rId170" xr:uid="{00000000-0004-0000-0000-0000A9000000}"/>
    <hyperlink ref="E89" r:id="rId171" xr:uid="{00000000-0004-0000-0000-0000AA000000}"/>
    <hyperlink ref="F89" r:id="rId172" xr:uid="{00000000-0004-0000-0000-0000AB000000}"/>
    <hyperlink ref="E90" r:id="rId173" xr:uid="{00000000-0004-0000-0000-0000AC000000}"/>
    <hyperlink ref="F90" r:id="rId174" xr:uid="{00000000-0004-0000-0000-0000AD000000}"/>
    <hyperlink ref="E91" r:id="rId175" xr:uid="{00000000-0004-0000-0000-0000AE000000}"/>
    <hyperlink ref="F91" r:id="rId176" xr:uid="{00000000-0004-0000-0000-0000AF000000}"/>
    <hyperlink ref="E92" r:id="rId177" xr:uid="{00000000-0004-0000-0000-0000B0000000}"/>
    <hyperlink ref="F92" r:id="rId178" xr:uid="{00000000-0004-0000-0000-0000B1000000}"/>
    <hyperlink ref="E93" r:id="rId179" xr:uid="{00000000-0004-0000-0000-0000B2000000}"/>
    <hyperlink ref="F93" r:id="rId180" xr:uid="{00000000-0004-0000-0000-0000B3000000}"/>
    <hyperlink ref="E94" r:id="rId181" xr:uid="{00000000-0004-0000-0000-0000B4000000}"/>
    <hyperlink ref="F94" r:id="rId182" xr:uid="{00000000-0004-0000-0000-0000B5000000}"/>
    <hyperlink ref="E95" r:id="rId183" xr:uid="{00000000-0004-0000-0000-0000B6000000}"/>
    <hyperlink ref="F95" r:id="rId184" xr:uid="{00000000-0004-0000-0000-0000B7000000}"/>
    <hyperlink ref="E96" r:id="rId185" xr:uid="{00000000-0004-0000-0000-0000B8000000}"/>
    <hyperlink ref="F96" r:id="rId186" xr:uid="{00000000-0004-0000-0000-0000B9000000}"/>
    <hyperlink ref="E97" r:id="rId187" xr:uid="{00000000-0004-0000-0000-0000BA000000}"/>
    <hyperlink ref="F97" r:id="rId188" xr:uid="{00000000-0004-0000-0000-0000BB000000}"/>
    <hyperlink ref="E98" r:id="rId189" xr:uid="{00000000-0004-0000-0000-0000BC000000}"/>
    <hyperlink ref="F98" r:id="rId190" xr:uid="{00000000-0004-0000-0000-0000BD000000}"/>
    <hyperlink ref="E99" r:id="rId191" xr:uid="{00000000-0004-0000-0000-0000BE000000}"/>
    <hyperlink ref="F99" r:id="rId192" xr:uid="{00000000-0004-0000-0000-0000BF000000}"/>
    <hyperlink ref="E100" r:id="rId193" xr:uid="{00000000-0004-0000-0000-0000C0000000}"/>
    <hyperlink ref="F100" r:id="rId194" xr:uid="{00000000-0004-0000-0000-0000C1000000}"/>
    <hyperlink ref="E101" r:id="rId195" xr:uid="{00000000-0004-0000-0000-0000C2000000}"/>
    <hyperlink ref="F101" r:id="rId196" xr:uid="{00000000-0004-0000-0000-0000C3000000}"/>
    <hyperlink ref="E102" r:id="rId197" xr:uid="{00000000-0004-0000-0000-0000C4000000}"/>
    <hyperlink ref="F102" r:id="rId198" xr:uid="{00000000-0004-0000-0000-0000C5000000}"/>
    <hyperlink ref="E103" r:id="rId199" xr:uid="{00000000-0004-0000-0000-0000C6000000}"/>
    <hyperlink ref="F103" r:id="rId200" xr:uid="{00000000-0004-0000-0000-0000C7000000}"/>
    <hyperlink ref="E104" r:id="rId201" xr:uid="{00000000-0004-0000-0000-0000C8000000}"/>
    <hyperlink ref="F104" r:id="rId202" xr:uid="{00000000-0004-0000-0000-0000C9000000}"/>
    <hyperlink ref="E105" r:id="rId203" xr:uid="{00000000-0004-0000-0000-0000CA000000}"/>
    <hyperlink ref="F105" r:id="rId204" xr:uid="{00000000-0004-0000-0000-0000CB000000}"/>
    <hyperlink ref="E106" r:id="rId205" xr:uid="{00000000-0004-0000-0000-0000CC000000}"/>
    <hyperlink ref="F106" r:id="rId206" xr:uid="{00000000-0004-0000-0000-0000CD000000}"/>
    <hyperlink ref="E107" r:id="rId207" xr:uid="{00000000-0004-0000-0000-0000CE000000}"/>
    <hyperlink ref="F107" r:id="rId208" xr:uid="{00000000-0004-0000-0000-0000CF000000}"/>
    <hyperlink ref="E108" r:id="rId209" xr:uid="{00000000-0004-0000-0000-0000D0000000}"/>
    <hyperlink ref="F108" r:id="rId210" xr:uid="{00000000-0004-0000-0000-0000D1000000}"/>
    <hyperlink ref="E109" r:id="rId211" xr:uid="{00000000-0004-0000-0000-0000D2000000}"/>
    <hyperlink ref="F109" r:id="rId212" xr:uid="{00000000-0004-0000-0000-0000D3000000}"/>
    <hyperlink ref="E110" r:id="rId213" xr:uid="{00000000-0004-0000-0000-0000D4000000}"/>
    <hyperlink ref="F110" r:id="rId214" xr:uid="{00000000-0004-0000-0000-0000D5000000}"/>
    <hyperlink ref="E111" r:id="rId215" xr:uid="{00000000-0004-0000-0000-0000D6000000}"/>
    <hyperlink ref="F111" r:id="rId216" xr:uid="{00000000-0004-0000-0000-0000D7000000}"/>
    <hyperlink ref="E112" r:id="rId217" xr:uid="{00000000-0004-0000-0000-0000D8000000}"/>
    <hyperlink ref="F112" r:id="rId218" xr:uid="{00000000-0004-0000-0000-0000D9000000}"/>
    <hyperlink ref="E113" r:id="rId219" xr:uid="{00000000-0004-0000-0000-0000DA000000}"/>
    <hyperlink ref="F113" r:id="rId220" xr:uid="{00000000-0004-0000-0000-0000DB000000}"/>
    <hyperlink ref="E114" r:id="rId221" xr:uid="{00000000-0004-0000-0000-0000DC000000}"/>
    <hyperlink ref="F114" r:id="rId222" xr:uid="{00000000-0004-0000-0000-0000DD000000}"/>
    <hyperlink ref="E115" r:id="rId223" xr:uid="{00000000-0004-0000-0000-0000DE000000}"/>
    <hyperlink ref="F115" r:id="rId224" xr:uid="{00000000-0004-0000-0000-0000DF000000}"/>
    <hyperlink ref="E116" r:id="rId225" xr:uid="{00000000-0004-0000-0000-0000E0000000}"/>
    <hyperlink ref="F116" r:id="rId226" xr:uid="{00000000-0004-0000-0000-0000E1000000}"/>
    <hyperlink ref="E117" r:id="rId227" xr:uid="{00000000-0004-0000-0000-0000E2000000}"/>
    <hyperlink ref="F117" r:id="rId228" xr:uid="{00000000-0004-0000-0000-0000E3000000}"/>
    <hyperlink ref="E118" r:id="rId229" xr:uid="{00000000-0004-0000-0000-0000E4000000}"/>
    <hyperlink ref="F118" r:id="rId230" xr:uid="{00000000-0004-0000-0000-0000E5000000}"/>
    <hyperlink ref="E119" r:id="rId231" xr:uid="{00000000-0004-0000-0000-0000E6000000}"/>
    <hyperlink ref="F119" r:id="rId232" xr:uid="{00000000-0004-0000-0000-0000E7000000}"/>
    <hyperlink ref="E120" r:id="rId233" xr:uid="{00000000-0004-0000-0000-0000E8000000}"/>
    <hyperlink ref="F120" r:id="rId234" xr:uid="{00000000-0004-0000-0000-0000E9000000}"/>
    <hyperlink ref="E121" r:id="rId235" xr:uid="{00000000-0004-0000-0000-0000EA000000}"/>
    <hyperlink ref="F121" r:id="rId236" xr:uid="{00000000-0004-0000-0000-0000EB000000}"/>
    <hyperlink ref="E122" r:id="rId237" xr:uid="{00000000-0004-0000-0000-0000EC000000}"/>
    <hyperlink ref="F122" r:id="rId238" xr:uid="{00000000-0004-0000-0000-0000ED000000}"/>
    <hyperlink ref="E123" r:id="rId239" xr:uid="{00000000-0004-0000-0000-0000EE000000}"/>
    <hyperlink ref="F123" r:id="rId240" xr:uid="{00000000-0004-0000-0000-0000EF000000}"/>
    <hyperlink ref="E124" r:id="rId241" xr:uid="{00000000-0004-0000-0000-0000F0000000}"/>
    <hyperlink ref="F124" r:id="rId242" xr:uid="{00000000-0004-0000-0000-0000F1000000}"/>
    <hyperlink ref="E125" r:id="rId243" xr:uid="{00000000-0004-0000-0000-0000F2000000}"/>
    <hyperlink ref="F125" r:id="rId244" xr:uid="{00000000-0004-0000-0000-0000F3000000}"/>
    <hyperlink ref="E126" r:id="rId245" xr:uid="{00000000-0004-0000-0000-0000F4000000}"/>
    <hyperlink ref="F126" r:id="rId246" xr:uid="{00000000-0004-0000-0000-0000F5000000}"/>
    <hyperlink ref="E127" r:id="rId247" xr:uid="{00000000-0004-0000-0000-0000F6000000}"/>
    <hyperlink ref="F127" r:id="rId248" xr:uid="{00000000-0004-0000-0000-0000F7000000}"/>
    <hyperlink ref="E128" r:id="rId249" xr:uid="{00000000-0004-0000-0000-0000F8000000}"/>
    <hyperlink ref="F128" r:id="rId250" xr:uid="{00000000-0004-0000-0000-0000F9000000}"/>
    <hyperlink ref="E129" r:id="rId251" xr:uid="{00000000-0004-0000-0000-0000FA000000}"/>
    <hyperlink ref="F129" r:id="rId252" xr:uid="{00000000-0004-0000-0000-0000FB000000}"/>
    <hyperlink ref="E130" r:id="rId253" xr:uid="{00000000-0004-0000-0000-0000FC000000}"/>
    <hyperlink ref="F130" r:id="rId254" xr:uid="{00000000-0004-0000-0000-0000FD000000}"/>
    <hyperlink ref="E131" r:id="rId255" xr:uid="{00000000-0004-0000-0000-0000FE000000}"/>
    <hyperlink ref="F131" r:id="rId256" xr:uid="{00000000-0004-0000-0000-0000FF000000}"/>
    <hyperlink ref="E132" r:id="rId257" xr:uid="{00000000-0004-0000-0000-000000010000}"/>
    <hyperlink ref="F132" r:id="rId258" xr:uid="{00000000-0004-0000-0000-000001010000}"/>
    <hyperlink ref="E133" r:id="rId259" xr:uid="{00000000-0004-0000-0000-000002010000}"/>
    <hyperlink ref="F133" r:id="rId260" xr:uid="{00000000-0004-0000-0000-000003010000}"/>
    <hyperlink ref="E134" r:id="rId261" xr:uid="{00000000-0004-0000-0000-000004010000}"/>
    <hyperlink ref="F134" r:id="rId262" xr:uid="{00000000-0004-0000-0000-000005010000}"/>
    <hyperlink ref="E135" r:id="rId263" xr:uid="{00000000-0004-0000-0000-000006010000}"/>
    <hyperlink ref="F135" r:id="rId264" xr:uid="{00000000-0004-0000-0000-000007010000}"/>
    <hyperlink ref="E136" r:id="rId265" xr:uid="{00000000-0004-0000-0000-000008010000}"/>
    <hyperlink ref="F136" r:id="rId266" xr:uid="{00000000-0004-0000-0000-000009010000}"/>
    <hyperlink ref="E137" r:id="rId267" xr:uid="{00000000-0004-0000-0000-00000A010000}"/>
    <hyperlink ref="F137" r:id="rId268" xr:uid="{00000000-0004-0000-0000-00000B010000}"/>
    <hyperlink ref="E138" r:id="rId269" xr:uid="{00000000-0004-0000-0000-00000C010000}"/>
    <hyperlink ref="F138" r:id="rId270" xr:uid="{00000000-0004-0000-0000-00000D010000}"/>
    <hyperlink ref="E139" r:id="rId271" xr:uid="{00000000-0004-0000-0000-00000E010000}"/>
    <hyperlink ref="F139" r:id="rId272" xr:uid="{00000000-0004-0000-0000-00000F010000}"/>
    <hyperlink ref="E140" r:id="rId273" xr:uid="{00000000-0004-0000-0000-000010010000}"/>
    <hyperlink ref="F140" r:id="rId274" xr:uid="{00000000-0004-0000-0000-000011010000}"/>
    <hyperlink ref="E141" r:id="rId275" xr:uid="{00000000-0004-0000-0000-000012010000}"/>
    <hyperlink ref="F141" r:id="rId276" xr:uid="{00000000-0004-0000-0000-000013010000}"/>
    <hyperlink ref="E142" r:id="rId277" xr:uid="{00000000-0004-0000-0000-000014010000}"/>
    <hyperlink ref="F142" r:id="rId278" xr:uid="{00000000-0004-0000-0000-000015010000}"/>
    <hyperlink ref="E143" r:id="rId279" xr:uid="{00000000-0004-0000-0000-000016010000}"/>
    <hyperlink ref="F143" r:id="rId280" xr:uid="{00000000-0004-0000-0000-000017010000}"/>
    <hyperlink ref="E144" r:id="rId281" xr:uid="{00000000-0004-0000-0000-000018010000}"/>
    <hyperlink ref="F144" r:id="rId282" xr:uid="{00000000-0004-0000-0000-000019010000}"/>
    <hyperlink ref="E145" r:id="rId283" xr:uid="{00000000-0004-0000-0000-00001A010000}"/>
    <hyperlink ref="F145" r:id="rId284" xr:uid="{00000000-0004-0000-0000-00001B010000}"/>
    <hyperlink ref="E146" r:id="rId285" xr:uid="{00000000-0004-0000-0000-00001C010000}"/>
    <hyperlink ref="F146" r:id="rId286" xr:uid="{00000000-0004-0000-0000-00001D010000}"/>
    <hyperlink ref="E147" r:id="rId287" xr:uid="{00000000-0004-0000-0000-00001E010000}"/>
    <hyperlink ref="F147" r:id="rId288" xr:uid="{00000000-0004-0000-0000-00001F010000}"/>
    <hyperlink ref="E148" r:id="rId289" xr:uid="{00000000-0004-0000-0000-000020010000}"/>
    <hyperlink ref="F148" r:id="rId290" xr:uid="{00000000-0004-0000-0000-000021010000}"/>
    <hyperlink ref="E149" r:id="rId291" xr:uid="{00000000-0004-0000-0000-000022010000}"/>
    <hyperlink ref="F149" r:id="rId292" xr:uid="{00000000-0004-0000-0000-000023010000}"/>
    <hyperlink ref="E150" r:id="rId293" xr:uid="{00000000-0004-0000-0000-000024010000}"/>
    <hyperlink ref="F150" r:id="rId294" xr:uid="{00000000-0004-0000-0000-000025010000}"/>
    <hyperlink ref="E151" r:id="rId295" xr:uid="{00000000-0004-0000-0000-000026010000}"/>
    <hyperlink ref="F151" r:id="rId296" xr:uid="{00000000-0004-0000-0000-000027010000}"/>
    <hyperlink ref="E152" r:id="rId297" xr:uid="{00000000-0004-0000-0000-000028010000}"/>
    <hyperlink ref="F152" r:id="rId298" xr:uid="{00000000-0004-0000-0000-000029010000}"/>
    <hyperlink ref="E153" r:id="rId299" xr:uid="{00000000-0004-0000-0000-00002A010000}"/>
    <hyperlink ref="F153" r:id="rId300" xr:uid="{00000000-0004-0000-0000-00002B010000}"/>
  </hyperlinks>
  <pageMargins left="0.75" right="0.75" top="1" bottom="1" header="0.511811023622047" footer="0.511811023622047"/>
  <pageSetup paperSize="9" orientation="portrait" horizontalDpi="300" verticalDpi="300"/>
  <legacyDrawing r:id="rId30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showGridLines="0" zoomScaleNormal="100" workbookViewId="0">
      <selection activeCell="D13" sqref="D13"/>
    </sheetView>
  </sheetViews>
  <sheetFormatPr defaultColWidth="8.6328125" defaultRowHeight="14.5" x14ac:dyDescent="0.35"/>
  <cols>
    <col min="1" max="1" width="24" customWidth="1"/>
    <col min="2" max="6" width="17" customWidth="1"/>
  </cols>
  <sheetData>
    <row r="1" spans="1:6" ht="25.5" customHeight="1" x14ac:dyDescent="0.35">
      <c r="A1" s="8" t="s">
        <v>196</v>
      </c>
      <c r="B1" s="8"/>
      <c r="C1" s="8"/>
      <c r="D1" s="8"/>
      <c r="E1" s="8"/>
      <c r="F1" s="8"/>
    </row>
    <row r="2" spans="1:6" ht="19.5" customHeight="1" x14ac:dyDescent="0.35">
      <c r="A2" s="7" t="s">
        <v>197</v>
      </c>
      <c r="B2" s="7"/>
      <c r="C2" s="7"/>
      <c r="D2" s="7"/>
      <c r="E2" s="7"/>
      <c r="F2" s="7"/>
    </row>
    <row r="4" spans="1:6" ht="39" x14ac:dyDescent="0.35">
      <c r="A4" s="9" t="s">
        <v>3</v>
      </c>
      <c r="B4" s="9" t="s">
        <v>198</v>
      </c>
      <c r="C4" s="9" t="s">
        <v>199</v>
      </c>
      <c r="D4" s="9" t="s">
        <v>200</v>
      </c>
      <c r="E4" s="9" t="s">
        <v>201</v>
      </c>
      <c r="F4" s="9" t="s">
        <v>202</v>
      </c>
    </row>
    <row r="5" spans="1:6" x14ac:dyDescent="0.35">
      <c r="A5" s="11" t="s">
        <v>19</v>
      </c>
      <c r="B5" s="10">
        <f>COUNTIF(Tracker!$B$4:$B$153,A5)</f>
        <v>9</v>
      </c>
      <c r="C5" s="10">
        <v>1</v>
      </c>
      <c r="D5" s="18">
        <f t="shared" ref="D5:D23" si="0">IFERROR(C5/B5,0)</f>
        <v>0.1111111111111111</v>
      </c>
      <c r="E5" s="10">
        <f>COUNTIFS(Tracker!$B$4:$B$153,A5,Tracker!$M$4:$M$153,"Y")</f>
        <v>1</v>
      </c>
      <c r="F5" s="19">
        <f>IFERROR(AVERAGEIFS(Tracker!$P$4:$P$153,Tracker!$B$4:$B$153,A5),0)</f>
        <v>3.5</v>
      </c>
    </row>
    <row r="6" spans="1:6" x14ac:dyDescent="0.35">
      <c r="A6" s="11" t="s">
        <v>38</v>
      </c>
      <c r="B6" s="10">
        <f>COUNTIF(Tracker!$B$4:$B$153,A6)</f>
        <v>5</v>
      </c>
      <c r="C6" s="10">
        <f>COUNTIFS(Tracker!$B$4:$B$153,A6,Tracker!$Q$4:$Q$153,"Solved Independently")+COUNTIFS(Tracker!$B$4:$B$153,A6,Tracker!$Q$4:$Q$153,"Mastered")</f>
        <v>0</v>
      </c>
      <c r="D6" s="18">
        <f t="shared" si="0"/>
        <v>0</v>
      </c>
      <c r="E6" s="10">
        <f>COUNTIFS(Tracker!$B$4:$B$153,A6,Tracker!$M$4:$M$153,"Y")</f>
        <v>0</v>
      </c>
      <c r="F6" s="19">
        <f>IFERROR(AVERAGEIFS(Tracker!$P$4:$P$153,Tracker!$B$4:$B$153,A6),0)</f>
        <v>0</v>
      </c>
    </row>
    <row r="7" spans="1:6" x14ac:dyDescent="0.35">
      <c r="A7" s="11" t="s">
        <v>45</v>
      </c>
      <c r="B7" s="10">
        <f>COUNTIF(Tracker!$B$4:$B$153,A7)</f>
        <v>6</v>
      </c>
      <c r="C7" s="10">
        <f>COUNTIFS(Tracker!$B$4:$B$153,A7,Tracker!$Q$4:$Q$153,"Solved Independently")+COUNTIFS(Tracker!$B$4:$B$153,A7,Tracker!$Q$4:$Q$153,"Mastered")</f>
        <v>0</v>
      </c>
      <c r="D7" s="18">
        <f t="shared" si="0"/>
        <v>0</v>
      </c>
      <c r="E7" s="10">
        <f>COUNTIFS(Tracker!$B$4:$B$153,A7,Tracker!$M$4:$M$153,"Y")</f>
        <v>0</v>
      </c>
      <c r="F7" s="19">
        <f>IFERROR(AVERAGEIFS(Tracker!$P$4:$P$153,Tracker!$B$4:$B$153,A7),0)</f>
        <v>0</v>
      </c>
    </row>
    <row r="8" spans="1:6" x14ac:dyDescent="0.35">
      <c r="A8" s="11" t="s">
        <v>52</v>
      </c>
      <c r="B8" s="10">
        <f>COUNTIF(Tracker!$B$4:$B$153,A8)</f>
        <v>6</v>
      </c>
      <c r="C8" s="10">
        <f>COUNTIFS(Tracker!$B$4:$B$153,A8,Tracker!$Q$4:$Q$153,"Solved Independently")+COUNTIFS(Tracker!$B$4:$B$153,A8,Tracker!$Q$4:$Q$153,"Mastered")</f>
        <v>0</v>
      </c>
      <c r="D8" s="18">
        <f t="shared" si="0"/>
        <v>0</v>
      </c>
      <c r="E8" s="10">
        <f>COUNTIFS(Tracker!$B$4:$B$153,A8,Tracker!$M$4:$M$153,"Y")</f>
        <v>1</v>
      </c>
      <c r="F8" s="19">
        <f>IFERROR(AVERAGEIFS(Tracker!$P$4:$P$153,Tracker!$B$4:$B$153,A8),0)</f>
        <v>2</v>
      </c>
    </row>
    <row r="9" spans="1:6" x14ac:dyDescent="0.35">
      <c r="A9" s="11" t="s">
        <v>59</v>
      </c>
      <c r="B9" s="10">
        <f>COUNTIF(Tracker!$B$4:$B$153,A9)</f>
        <v>7</v>
      </c>
      <c r="C9" s="10">
        <v>0</v>
      </c>
      <c r="D9" s="18">
        <f t="shared" si="0"/>
        <v>0</v>
      </c>
      <c r="E9" s="10">
        <f>COUNTIFS(Tracker!$B$4:$B$153,A9,Tracker!$M$4:$M$153,"Y")</f>
        <v>1</v>
      </c>
      <c r="F9" s="19">
        <f>IFERROR(AVERAGEIFS(Tracker!$P$4:$P$153,Tracker!$B$4:$B$153,A9),0)</f>
        <v>2</v>
      </c>
    </row>
    <row r="10" spans="1:6" x14ac:dyDescent="0.35">
      <c r="A10" s="11" t="s">
        <v>66</v>
      </c>
      <c r="B10" s="10">
        <f>COUNTIF(Tracker!$B$4:$B$153,A10)</f>
        <v>11</v>
      </c>
      <c r="C10" s="10">
        <v>0</v>
      </c>
      <c r="D10" s="18">
        <f t="shared" si="0"/>
        <v>0</v>
      </c>
      <c r="E10" s="10">
        <f>COUNTIFS(Tracker!$B$4:$B$153,A10,Tracker!$M$4:$M$153,"Y")</f>
        <v>3</v>
      </c>
      <c r="F10" s="19">
        <f>IFERROR(AVERAGEIFS(Tracker!$P$4:$P$153,Tracker!$B$4:$B$153,A10),0)</f>
        <v>2</v>
      </c>
    </row>
    <row r="11" spans="1:6" x14ac:dyDescent="0.35">
      <c r="A11" s="11" t="s">
        <v>78</v>
      </c>
      <c r="B11" s="10">
        <f>COUNTIF(Tracker!$B$4:$B$153,A11)</f>
        <v>15</v>
      </c>
      <c r="C11" s="10">
        <f>COUNTIFS(Tracker!$B$4:$B$153,A11,Tracker!$Q$4:$Q$153,"Solved Independently")+COUNTIFS(Tracker!$B$4:$B$153,A11,Tracker!$Q$4:$Q$153,"Mastered")</f>
        <v>0</v>
      </c>
      <c r="D11" s="18">
        <f t="shared" si="0"/>
        <v>0</v>
      </c>
      <c r="E11" s="10">
        <f>COUNTIFS(Tracker!$B$4:$B$153,A11,Tracker!$M$4:$M$153,"Y")</f>
        <v>0</v>
      </c>
      <c r="F11" s="19">
        <f>IFERROR(AVERAGEIFS(Tracker!$P$4:$P$153,Tracker!$B$4:$B$153,A11),0)</f>
        <v>0</v>
      </c>
    </row>
    <row r="12" spans="1:6" x14ac:dyDescent="0.35">
      <c r="A12" s="11" t="s">
        <v>94</v>
      </c>
      <c r="B12" s="10">
        <f>COUNTIF(Tracker!$B$4:$B$153,A12)</f>
        <v>7</v>
      </c>
      <c r="C12" s="10">
        <f>COUNTIFS(Tracker!$B$4:$B$153,A12,Tracker!$Q$4:$Q$153,"Solved Independently")+COUNTIFS(Tracker!$B$4:$B$153,A12,Tracker!$Q$4:$Q$153,"Mastered")</f>
        <v>0</v>
      </c>
      <c r="D12" s="18">
        <f t="shared" si="0"/>
        <v>0</v>
      </c>
      <c r="E12" s="10">
        <f>COUNTIFS(Tracker!$B$4:$B$153,A12,Tracker!$M$4:$M$153,"Y")</f>
        <v>0</v>
      </c>
      <c r="F12" s="19">
        <f>IFERROR(AVERAGEIFS(Tracker!$P$4:$P$153,Tracker!$B$4:$B$153,A12),0)</f>
        <v>0</v>
      </c>
    </row>
    <row r="13" spans="1:6" x14ac:dyDescent="0.35">
      <c r="A13" s="11" t="s">
        <v>102</v>
      </c>
      <c r="B13" s="10">
        <f>COUNTIF(Tracker!$B$4:$B$153,A13)</f>
        <v>10</v>
      </c>
      <c r="C13" s="10">
        <f>COUNTIFS(Tracker!$B$4:$B$153,A13,Tracker!$Q$4:$Q$153,"Solved Independently")+COUNTIFS(Tracker!$B$4:$B$153,A13,Tracker!$Q$4:$Q$153,"Mastered")</f>
        <v>0</v>
      </c>
      <c r="D13" s="18">
        <f t="shared" si="0"/>
        <v>0</v>
      </c>
      <c r="E13" s="10">
        <f>COUNTIFS(Tracker!$B$4:$B$153,A13,Tracker!$M$4:$M$153,"Y")</f>
        <v>0</v>
      </c>
      <c r="F13" s="19">
        <f>IFERROR(AVERAGEIFS(Tracker!$P$4:$P$153,Tracker!$B$4:$B$153,A13),0)</f>
        <v>0</v>
      </c>
    </row>
    <row r="14" spans="1:6" x14ac:dyDescent="0.35">
      <c r="A14" s="11" t="s">
        <v>113</v>
      </c>
      <c r="B14" s="10">
        <f>COUNTIF(Tracker!$B$4:$B$153,A14)</f>
        <v>3</v>
      </c>
      <c r="C14" s="10">
        <f>COUNTIFS(Tracker!$B$4:$B$153,A14,Tracker!$Q$4:$Q$153,"Solved Independently")+COUNTIFS(Tracker!$B$4:$B$153,A14,Tracker!$Q$4:$Q$153,"Mastered")</f>
        <v>0</v>
      </c>
      <c r="D14" s="18">
        <f t="shared" si="0"/>
        <v>0</v>
      </c>
      <c r="E14" s="10">
        <f>COUNTIFS(Tracker!$B$4:$B$153,A14,Tracker!$M$4:$M$153,"Y")</f>
        <v>0</v>
      </c>
      <c r="F14" s="19">
        <f>IFERROR(AVERAGEIFS(Tracker!$P$4:$P$153,Tracker!$B$4:$B$153,A14),0)</f>
        <v>0</v>
      </c>
    </row>
    <row r="15" spans="1:6" x14ac:dyDescent="0.35">
      <c r="A15" s="11" t="s">
        <v>117</v>
      </c>
      <c r="B15" s="10">
        <f>COUNTIF(Tracker!$B$4:$B$153,A15)</f>
        <v>13</v>
      </c>
      <c r="C15" s="10">
        <f>COUNTIFS(Tracker!$B$4:$B$153,A15,Tracker!$Q$4:$Q$153,"Solved Independently")+COUNTIFS(Tracker!$B$4:$B$153,A15,Tracker!$Q$4:$Q$153,"Mastered")</f>
        <v>0</v>
      </c>
      <c r="D15" s="18">
        <f t="shared" si="0"/>
        <v>0</v>
      </c>
      <c r="E15" s="10">
        <f>COUNTIFS(Tracker!$B$4:$B$153,A15,Tracker!$M$4:$M$153,"Y")</f>
        <v>0</v>
      </c>
      <c r="F15" s="19">
        <f>IFERROR(AVERAGEIFS(Tracker!$P$4:$P$153,Tracker!$B$4:$B$153,A15),0)</f>
        <v>0</v>
      </c>
    </row>
    <row r="16" spans="1:6" x14ac:dyDescent="0.35">
      <c r="A16" s="11" t="s">
        <v>131</v>
      </c>
      <c r="B16" s="10">
        <f>COUNTIF(Tracker!$B$4:$B$153,A16)</f>
        <v>6</v>
      </c>
      <c r="C16" s="10">
        <f>COUNTIFS(Tracker!$B$4:$B$153,A16,Tracker!$Q$4:$Q$153,"Solved Independently")+COUNTIFS(Tracker!$B$4:$B$153,A16,Tracker!$Q$4:$Q$153,"Mastered")</f>
        <v>0</v>
      </c>
      <c r="D16" s="18">
        <f t="shared" si="0"/>
        <v>0</v>
      </c>
      <c r="E16" s="10">
        <f>COUNTIFS(Tracker!$B$4:$B$153,A16,Tracker!$M$4:$M$153,"Y")</f>
        <v>0</v>
      </c>
      <c r="F16" s="19">
        <f>IFERROR(AVERAGEIFS(Tracker!$P$4:$P$153,Tracker!$B$4:$B$153,A16),0)</f>
        <v>0</v>
      </c>
    </row>
    <row r="17" spans="1:6" x14ac:dyDescent="0.35">
      <c r="A17" s="11" t="s">
        <v>138</v>
      </c>
      <c r="B17" s="10">
        <f>COUNTIF(Tracker!$B$4:$B$153,A17)</f>
        <v>12</v>
      </c>
      <c r="C17" s="10">
        <f>COUNTIFS(Tracker!$B$4:$B$153,A17,Tracker!$Q$4:$Q$153,"Solved Independently")+COUNTIFS(Tracker!$B$4:$B$153,A17,Tracker!$Q$4:$Q$153,"Mastered")</f>
        <v>0</v>
      </c>
      <c r="D17" s="18">
        <f t="shared" si="0"/>
        <v>0</v>
      </c>
      <c r="E17" s="10">
        <f>COUNTIFS(Tracker!$B$4:$B$153,A17,Tracker!$M$4:$M$153,"Y")</f>
        <v>0</v>
      </c>
      <c r="F17" s="19">
        <f>IFERROR(AVERAGEIFS(Tracker!$P$4:$P$153,Tracker!$B$4:$B$153,A17),0)</f>
        <v>0</v>
      </c>
    </row>
    <row r="18" spans="1:6" x14ac:dyDescent="0.35">
      <c r="A18" s="11" t="s">
        <v>151</v>
      </c>
      <c r="B18" s="10">
        <f>COUNTIF(Tracker!$B$4:$B$153,A18)</f>
        <v>11</v>
      </c>
      <c r="C18" s="10">
        <f>COUNTIFS(Tracker!$B$4:$B$153,A18,Tracker!$Q$4:$Q$153,"Solved Independently")+COUNTIFS(Tracker!$B$4:$B$153,A18,Tracker!$Q$4:$Q$153,"Mastered")</f>
        <v>0</v>
      </c>
      <c r="D18" s="18">
        <f t="shared" si="0"/>
        <v>0</v>
      </c>
      <c r="E18" s="10">
        <f>COUNTIFS(Tracker!$B$4:$B$153,A18,Tracker!$M$4:$M$153,"Y")</f>
        <v>0</v>
      </c>
      <c r="F18" s="19">
        <f>IFERROR(AVERAGEIFS(Tracker!$P$4:$P$153,Tracker!$B$4:$B$153,A18),0)</f>
        <v>0</v>
      </c>
    </row>
    <row r="19" spans="1:6" x14ac:dyDescent="0.35">
      <c r="A19" s="11" t="s">
        <v>163</v>
      </c>
      <c r="B19" s="10">
        <f>COUNTIF(Tracker!$B$4:$B$153,A19)</f>
        <v>8</v>
      </c>
      <c r="C19" s="10">
        <f>COUNTIFS(Tracker!$B$4:$B$153,A19,Tracker!$Q$4:$Q$153,"Solved Independently")+COUNTIFS(Tracker!$B$4:$B$153,A19,Tracker!$Q$4:$Q$153,"Mastered")</f>
        <v>0</v>
      </c>
      <c r="D19" s="18">
        <f t="shared" si="0"/>
        <v>0</v>
      </c>
      <c r="E19" s="10">
        <f>COUNTIFS(Tracker!$B$4:$B$153,A19,Tracker!$M$4:$M$153,"Y")</f>
        <v>0</v>
      </c>
      <c r="F19" s="19">
        <f>IFERROR(AVERAGEIFS(Tracker!$P$4:$P$153,Tracker!$B$4:$B$153,A19),0)</f>
        <v>0</v>
      </c>
    </row>
    <row r="20" spans="1:6" x14ac:dyDescent="0.35">
      <c r="A20" s="11" t="s">
        <v>172</v>
      </c>
      <c r="B20" s="10">
        <f>COUNTIF(Tracker!$B$4:$B$153,A20)</f>
        <v>6</v>
      </c>
      <c r="C20" s="10">
        <f>COUNTIFS(Tracker!$B$4:$B$153,A20,Tracker!$Q$4:$Q$153,"Solved Independently")+COUNTIFS(Tracker!$B$4:$B$153,A20,Tracker!$Q$4:$Q$153,"Mastered")</f>
        <v>0</v>
      </c>
      <c r="D20" s="18">
        <f t="shared" si="0"/>
        <v>0</v>
      </c>
      <c r="E20" s="10">
        <f>COUNTIFS(Tracker!$B$4:$B$153,A20,Tracker!$M$4:$M$153,"Y")</f>
        <v>0</v>
      </c>
      <c r="F20" s="19">
        <f>IFERROR(AVERAGEIFS(Tracker!$P$4:$P$153,Tracker!$B$4:$B$153,A20),0)</f>
        <v>0</v>
      </c>
    </row>
    <row r="21" spans="1:6" x14ac:dyDescent="0.35">
      <c r="A21" s="11" t="s">
        <v>179</v>
      </c>
      <c r="B21" s="10">
        <f>COUNTIF(Tracker!$B$4:$B$153,A21)</f>
        <v>8</v>
      </c>
      <c r="C21" s="10">
        <f>COUNTIFS(Tracker!$B$4:$B$153,A21,Tracker!$Q$4:$Q$153,"Solved Independently")+COUNTIFS(Tracker!$B$4:$B$153,A21,Tracker!$Q$4:$Q$153,"Mastered")</f>
        <v>0</v>
      </c>
      <c r="D21" s="18">
        <f t="shared" si="0"/>
        <v>0</v>
      </c>
      <c r="E21" s="10">
        <f>COUNTIFS(Tracker!$B$4:$B$153,A21,Tracker!$M$4:$M$153,"Y")</f>
        <v>0</v>
      </c>
      <c r="F21" s="19">
        <f>IFERROR(AVERAGEIFS(Tracker!$P$4:$P$153,Tracker!$B$4:$B$153,A21),0)</f>
        <v>0</v>
      </c>
    </row>
    <row r="22" spans="1:6" x14ac:dyDescent="0.35">
      <c r="A22" s="11" t="s">
        <v>188</v>
      </c>
      <c r="B22" s="10">
        <f>COUNTIF(Tracker!$B$4:$B$153,A22)</f>
        <v>7</v>
      </c>
      <c r="C22" s="10">
        <f>COUNTIFS(Tracker!$B$4:$B$153,A22,Tracker!$Q$4:$Q$153,"Solved Independently")+COUNTIFS(Tracker!$B$4:$B$153,A22,Tracker!$Q$4:$Q$153,"Mastered")</f>
        <v>0</v>
      </c>
      <c r="D22" s="18">
        <f t="shared" si="0"/>
        <v>0</v>
      </c>
      <c r="E22" s="10">
        <f>COUNTIFS(Tracker!$B$4:$B$153,A22,Tracker!$M$4:$M$153,"Y")</f>
        <v>0</v>
      </c>
      <c r="F22" s="19">
        <f>IFERROR(AVERAGEIFS(Tracker!$P$4:$P$153,Tracker!$B$4:$B$153,A22),0)</f>
        <v>0</v>
      </c>
    </row>
    <row r="23" spans="1:6" x14ac:dyDescent="0.35">
      <c r="A23" s="20" t="s">
        <v>203</v>
      </c>
      <c r="B23" s="21">
        <f>SUM(B5:B22)</f>
        <v>150</v>
      </c>
      <c r="C23" s="21">
        <f>SUM(C5:C22)</f>
        <v>1</v>
      </c>
      <c r="D23" s="22">
        <f t="shared" si="0"/>
        <v>6.6666666666666671E-3</v>
      </c>
      <c r="E23" s="21">
        <f>SUM(E5:E22)</f>
        <v>6</v>
      </c>
      <c r="F23" s="23">
        <f>IFERROR(AVERAGE(F5:F22),0)</f>
        <v>0.52777777777777779</v>
      </c>
    </row>
  </sheetData>
  <mergeCells count="2">
    <mergeCell ref="A1:F1"/>
    <mergeCell ref="A2:F2"/>
  </mergeCells>
  <conditionalFormatting sqref="D5:D22">
    <cfRule type="dataBar" priority="2">
      <dataBar>
        <cfvo type="num" val="0"/>
        <cfvo type="num" val="1"/>
        <color rgb="FF4472C4"/>
      </dataBar>
      <extLst>
        <ext xmlns:x14="http://schemas.microsoft.com/office/spreadsheetml/2009/9/main" uri="{B025F937-C7B1-47D3-B67F-A62EFF666E3E}">
          <x14:id>{8693C97D-B0C7-4A27-9C1C-E5A9ED9E816D}</x14:id>
        </ext>
      </extLst>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8693C97D-B0C7-4A27-9C1C-E5A9ED9E816D}">
            <x14:dataBar axisPosition="none">
              <x14:cfvo type="num">
                <xm:f>0</xm:f>
              </x14:cfvo>
              <x14:cfvo type="num">
                <xm:f>1</xm:f>
              </x14:cfvo>
              <x14:negativeFillColor rgb="FF4472C4"/>
            </x14:dataBar>
          </x14:cfRule>
          <xm:sqref>D5:D22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0"/>
  <sheetViews>
    <sheetView showGridLines="0" zoomScaleNormal="100" workbookViewId="0"/>
  </sheetViews>
  <sheetFormatPr defaultColWidth="8.6328125" defaultRowHeight="14.5" x14ac:dyDescent="0.35"/>
  <cols>
    <col min="1" max="1" width="3" customWidth="1"/>
    <col min="2" max="2" width="95" customWidth="1"/>
  </cols>
  <sheetData>
    <row r="1" spans="1:8" ht="25.5" customHeight="1" x14ac:dyDescent="0.35">
      <c r="A1" s="8" t="s">
        <v>204</v>
      </c>
      <c r="B1" s="8"/>
      <c r="C1" s="8"/>
      <c r="D1" s="8"/>
      <c r="E1" s="8"/>
      <c r="F1" s="8"/>
      <c r="G1" s="8"/>
      <c r="H1" s="8"/>
    </row>
    <row r="3" spans="1:8" ht="16.5" x14ac:dyDescent="0.35">
      <c r="A3" s="6" t="s">
        <v>205</v>
      </c>
      <c r="B3" s="6"/>
      <c r="C3" s="6"/>
      <c r="D3" s="6"/>
      <c r="E3" s="6"/>
      <c r="F3" s="6"/>
      <c r="G3" s="6"/>
      <c r="H3" s="6"/>
    </row>
    <row r="5" spans="1:8" ht="30" customHeight="1" x14ac:dyDescent="0.35">
      <c r="B5" s="5" t="s">
        <v>206</v>
      </c>
      <c r="C5" s="5"/>
      <c r="D5" s="5"/>
      <c r="E5" s="5"/>
      <c r="F5" s="5"/>
      <c r="G5" s="5"/>
      <c r="H5" s="5"/>
    </row>
    <row r="6" spans="1:8" ht="30" customHeight="1" x14ac:dyDescent="0.35">
      <c r="B6" s="5" t="s">
        <v>207</v>
      </c>
      <c r="C6" s="5"/>
      <c r="D6" s="5"/>
      <c r="E6" s="5"/>
      <c r="F6" s="5"/>
      <c r="G6" s="5"/>
      <c r="H6" s="5"/>
    </row>
    <row r="7" spans="1:8" ht="30" customHeight="1" x14ac:dyDescent="0.35">
      <c r="B7" s="5" t="s">
        <v>208</v>
      </c>
      <c r="C7" s="5"/>
      <c r="D7" s="5"/>
      <c r="E7" s="5"/>
      <c r="F7" s="5"/>
      <c r="G7" s="5"/>
      <c r="H7" s="5"/>
    </row>
    <row r="8" spans="1:8" ht="30" customHeight="1" x14ac:dyDescent="0.35">
      <c r="B8" s="5" t="s">
        <v>209</v>
      </c>
      <c r="C8" s="5"/>
      <c r="D8" s="5"/>
      <c r="E8" s="5"/>
      <c r="F8" s="5"/>
      <c r="G8" s="5"/>
      <c r="H8" s="5"/>
    </row>
    <row r="9" spans="1:8" ht="30" customHeight="1" x14ac:dyDescent="0.35">
      <c r="B9" s="5" t="s">
        <v>210</v>
      </c>
      <c r="C9" s="5"/>
      <c r="D9" s="5"/>
      <c r="E9" s="5"/>
      <c r="F9" s="5"/>
      <c r="G9" s="5"/>
      <c r="H9" s="5"/>
    </row>
    <row r="10" spans="1:8" ht="30" customHeight="1" x14ac:dyDescent="0.35">
      <c r="B10" s="5" t="s">
        <v>211</v>
      </c>
      <c r="C10" s="5"/>
      <c r="D10" s="5"/>
      <c r="E10" s="5"/>
      <c r="F10" s="5"/>
      <c r="G10" s="5"/>
      <c r="H10" s="5"/>
    </row>
    <row r="11" spans="1:8" ht="30" customHeight="1" x14ac:dyDescent="0.35">
      <c r="B11" s="5" t="s">
        <v>212</v>
      </c>
      <c r="C11" s="5"/>
      <c r="D11" s="5"/>
      <c r="E11" s="5"/>
      <c r="F11" s="5"/>
      <c r="G11" s="5"/>
      <c r="H11" s="5"/>
    </row>
    <row r="12" spans="1:8" ht="30" customHeight="1" x14ac:dyDescent="0.35">
      <c r="B12" s="5" t="s">
        <v>213</v>
      </c>
      <c r="C12" s="5"/>
      <c r="D12" s="5"/>
      <c r="E12" s="5"/>
      <c r="F12" s="5"/>
      <c r="G12" s="5"/>
      <c r="H12" s="5"/>
    </row>
    <row r="13" spans="1:8" ht="30" customHeight="1" x14ac:dyDescent="0.35">
      <c r="B13" s="5" t="s">
        <v>214</v>
      </c>
      <c r="C13" s="5"/>
      <c r="D13" s="5"/>
      <c r="E13" s="5"/>
      <c r="F13" s="5"/>
      <c r="G13" s="5"/>
      <c r="H13" s="5"/>
    </row>
    <row r="15" spans="1:8" ht="16.5" x14ac:dyDescent="0.35">
      <c r="A15" s="6" t="s">
        <v>215</v>
      </c>
      <c r="B15" s="6"/>
      <c r="C15" s="6"/>
      <c r="D15" s="6"/>
      <c r="E15" s="6"/>
      <c r="F15" s="6"/>
      <c r="G15" s="6"/>
      <c r="H15" s="6"/>
    </row>
    <row r="17" spans="1:8" ht="30" customHeight="1" x14ac:dyDescent="0.35">
      <c r="B17" s="5" t="s">
        <v>216</v>
      </c>
      <c r="C17" s="5"/>
      <c r="D17" s="5"/>
      <c r="E17" s="5"/>
      <c r="F17" s="5"/>
      <c r="G17" s="5"/>
      <c r="H17" s="5"/>
    </row>
    <row r="18" spans="1:8" ht="30" customHeight="1" x14ac:dyDescent="0.35">
      <c r="B18" s="5" t="s">
        <v>217</v>
      </c>
      <c r="C18" s="5"/>
      <c r="D18" s="5"/>
      <c r="E18" s="5"/>
      <c r="F18" s="5"/>
      <c r="G18" s="5"/>
      <c r="H18" s="5"/>
    </row>
    <row r="19" spans="1:8" ht="30" customHeight="1" x14ac:dyDescent="0.35">
      <c r="B19" s="5" t="s">
        <v>218</v>
      </c>
      <c r="C19" s="5"/>
      <c r="D19" s="5"/>
      <c r="E19" s="5"/>
      <c r="F19" s="5"/>
      <c r="G19" s="5"/>
      <c r="H19" s="5"/>
    </row>
    <row r="20" spans="1:8" ht="30" customHeight="1" x14ac:dyDescent="0.35">
      <c r="B20" s="5" t="s">
        <v>219</v>
      </c>
      <c r="C20" s="5"/>
      <c r="D20" s="5"/>
      <c r="E20" s="5"/>
      <c r="F20" s="5"/>
      <c r="G20" s="5"/>
      <c r="H20" s="5"/>
    </row>
    <row r="21" spans="1:8" ht="30" customHeight="1" x14ac:dyDescent="0.35">
      <c r="B21" s="5" t="s">
        <v>220</v>
      </c>
      <c r="C21" s="5"/>
      <c r="D21" s="5"/>
      <c r="E21" s="5"/>
      <c r="F21" s="5"/>
      <c r="G21" s="5"/>
      <c r="H21" s="5"/>
    </row>
    <row r="22" spans="1:8" ht="30" customHeight="1" x14ac:dyDescent="0.35">
      <c r="B22" s="5" t="s">
        <v>221</v>
      </c>
      <c r="C22" s="5"/>
      <c r="D22" s="5"/>
      <c r="E22" s="5"/>
      <c r="F22" s="5"/>
      <c r="G22" s="5"/>
      <c r="H22" s="5"/>
    </row>
    <row r="24" spans="1:8" ht="16.5" x14ac:dyDescent="0.35">
      <c r="A24" s="6" t="s">
        <v>222</v>
      </c>
      <c r="B24" s="6"/>
      <c r="C24" s="6"/>
      <c r="D24" s="6"/>
      <c r="E24" s="6"/>
      <c r="F24" s="6"/>
      <c r="G24" s="6"/>
      <c r="H24" s="6"/>
    </row>
    <row r="26" spans="1:8" ht="15" customHeight="1" x14ac:dyDescent="0.35">
      <c r="B26" s="4" t="s">
        <v>223</v>
      </c>
      <c r="C26" s="4"/>
      <c r="D26" s="4"/>
      <c r="E26" s="4"/>
      <c r="F26" s="4"/>
      <c r="G26" s="4"/>
      <c r="H26" s="4"/>
    </row>
    <row r="28" spans="1:8" x14ac:dyDescent="0.35">
      <c r="B28" s="24" t="s">
        <v>224</v>
      </c>
      <c r="C28" s="25" t="s">
        <v>24</v>
      </c>
    </row>
    <row r="30" spans="1:8" ht="27.75" customHeight="1" x14ac:dyDescent="0.35">
      <c r="B30" s="9" t="s">
        <v>3</v>
      </c>
      <c r="C30" s="9" t="s">
        <v>225</v>
      </c>
      <c r="D30" s="9" t="s">
        <v>226</v>
      </c>
      <c r="E30" s="9" t="s">
        <v>227</v>
      </c>
      <c r="F30" s="9" t="s">
        <v>228</v>
      </c>
    </row>
    <row r="31" spans="1:8" ht="25" x14ac:dyDescent="0.35">
      <c r="B31" s="11" t="s">
        <v>19</v>
      </c>
      <c r="C31" s="10">
        <f>COUNTIF(Tracker!$B$4:$B$153,B31)</f>
        <v>9</v>
      </c>
      <c r="D31" s="10">
        <f t="shared" ref="D31:D48" si="0">ROUNDUP(C31/2,0)</f>
        <v>5</v>
      </c>
      <c r="E31" s="26" t="str">
        <f>C28</f>
        <v>2026-08-10</v>
      </c>
      <c r="F31" s="26">
        <f t="shared" ref="F31:F48" si="1">E31+D31-1</f>
        <v>46248</v>
      </c>
    </row>
    <row r="32" spans="1:8" x14ac:dyDescent="0.35">
      <c r="B32" s="11" t="s">
        <v>38</v>
      </c>
      <c r="C32" s="10">
        <f>COUNTIF(Tracker!$B$4:$B$153,B32)</f>
        <v>5</v>
      </c>
      <c r="D32" s="10">
        <f t="shared" si="0"/>
        <v>3</v>
      </c>
      <c r="E32" s="26">
        <f t="shared" ref="E32:E48" si="2">F31+1</f>
        <v>46249</v>
      </c>
      <c r="F32" s="26">
        <f t="shared" si="1"/>
        <v>46251</v>
      </c>
    </row>
    <row r="33" spans="2:6" x14ac:dyDescent="0.35">
      <c r="B33" s="11" t="s">
        <v>45</v>
      </c>
      <c r="C33" s="10">
        <f>COUNTIF(Tracker!$B$4:$B$153,B33)</f>
        <v>6</v>
      </c>
      <c r="D33" s="10">
        <f t="shared" si="0"/>
        <v>3</v>
      </c>
      <c r="E33" s="26">
        <f t="shared" si="2"/>
        <v>46252</v>
      </c>
      <c r="F33" s="26">
        <f t="shared" si="1"/>
        <v>46254</v>
      </c>
    </row>
    <row r="34" spans="2:6" x14ac:dyDescent="0.35">
      <c r="B34" s="11" t="s">
        <v>52</v>
      </c>
      <c r="C34" s="10">
        <f>COUNTIF(Tracker!$B$4:$B$153,B34)</f>
        <v>6</v>
      </c>
      <c r="D34" s="10">
        <f t="shared" si="0"/>
        <v>3</v>
      </c>
      <c r="E34" s="26">
        <f t="shared" si="2"/>
        <v>46255</v>
      </c>
      <c r="F34" s="26">
        <f t="shared" si="1"/>
        <v>46257</v>
      </c>
    </row>
    <row r="35" spans="2:6" x14ac:dyDescent="0.35">
      <c r="B35" s="11" t="s">
        <v>59</v>
      </c>
      <c r="C35" s="10">
        <f>COUNTIF(Tracker!$B$4:$B$153,B35)</f>
        <v>7</v>
      </c>
      <c r="D35" s="10">
        <f t="shared" si="0"/>
        <v>4</v>
      </c>
      <c r="E35" s="26">
        <f t="shared" si="2"/>
        <v>46258</v>
      </c>
      <c r="F35" s="26">
        <f t="shared" si="1"/>
        <v>46261</v>
      </c>
    </row>
    <row r="36" spans="2:6" x14ac:dyDescent="0.35">
      <c r="B36" s="11" t="s">
        <v>66</v>
      </c>
      <c r="C36" s="10">
        <f>COUNTIF(Tracker!$B$4:$B$153,B36)</f>
        <v>11</v>
      </c>
      <c r="D36" s="10">
        <f t="shared" si="0"/>
        <v>6</v>
      </c>
      <c r="E36" s="26">
        <f t="shared" si="2"/>
        <v>46262</v>
      </c>
      <c r="F36" s="26">
        <f t="shared" si="1"/>
        <v>46267</v>
      </c>
    </row>
    <row r="37" spans="2:6" x14ac:dyDescent="0.35">
      <c r="B37" s="11" t="s">
        <v>78</v>
      </c>
      <c r="C37" s="10">
        <f>COUNTIF(Tracker!$B$4:$B$153,B37)</f>
        <v>15</v>
      </c>
      <c r="D37" s="10">
        <f t="shared" si="0"/>
        <v>8</v>
      </c>
      <c r="E37" s="26">
        <f t="shared" si="2"/>
        <v>46268</v>
      </c>
      <c r="F37" s="26">
        <f t="shared" si="1"/>
        <v>46275</v>
      </c>
    </row>
    <row r="38" spans="2:6" x14ac:dyDescent="0.35">
      <c r="B38" s="11" t="s">
        <v>94</v>
      </c>
      <c r="C38" s="10">
        <f>COUNTIF(Tracker!$B$4:$B$153,B38)</f>
        <v>7</v>
      </c>
      <c r="D38" s="10">
        <f t="shared" si="0"/>
        <v>4</v>
      </c>
      <c r="E38" s="26">
        <f t="shared" si="2"/>
        <v>46276</v>
      </c>
      <c r="F38" s="26">
        <f t="shared" si="1"/>
        <v>46279</v>
      </c>
    </row>
    <row r="39" spans="2:6" x14ac:dyDescent="0.35">
      <c r="B39" s="11" t="s">
        <v>102</v>
      </c>
      <c r="C39" s="10">
        <f>COUNTIF(Tracker!$B$4:$B$153,B39)</f>
        <v>10</v>
      </c>
      <c r="D39" s="10">
        <f t="shared" si="0"/>
        <v>5</v>
      </c>
      <c r="E39" s="26">
        <f t="shared" si="2"/>
        <v>46280</v>
      </c>
      <c r="F39" s="26">
        <f t="shared" si="1"/>
        <v>46284</v>
      </c>
    </row>
    <row r="40" spans="2:6" x14ac:dyDescent="0.35">
      <c r="B40" s="11" t="s">
        <v>113</v>
      </c>
      <c r="C40" s="10">
        <f>COUNTIF(Tracker!$B$4:$B$153,B40)</f>
        <v>3</v>
      </c>
      <c r="D40" s="10">
        <f t="shared" si="0"/>
        <v>2</v>
      </c>
      <c r="E40" s="26">
        <f t="shared" si="2"/>
        <v>46285</v>
      </c>
      <c r="F40" s="26">
        <f t="shared" si="1"/>
        <v>46286</v>
      </c>
    </row>
    <row r="41" spans="2:6" x14ac:dyDescent="0.35">
      <c r="B41" s="11" t="s">
        <v>117</v>
      </c>
      <c r="C41" s="10">
        <f>COUNTIF(Tracker!$B$4:$B$153,B41)</f>
        <v>13</v>
      </c>
      <c r="D41" s="10">
        <f t="shared" si="0"/>
        <v>7</v>
      </c>
      <c r="E41" s="26">
        <f t="shared" si="2"/>
        <v>46287</v>
      </c>
      <c r="F41" s="26">
        <f t="shared" si="1"/>
        <v>46293</v>
      </c>
    </row>
    <row r="42" spans="2:6" x14ac:dyDescent="0.35">
      <c r="B42" s="11" t="s">
        <v>131</v>
      </c>
      <c r="C42" s="10">
        <f>COUNTIF(Tracker!$B$4:$B$153,B42)</f>
        <v>6</v>
      </c>
      <c r="D42" s="10">
        <f t="shared" si="0"/>
        <v>3</v>
      </c>
      <c r="E42" s="26">
        <f t="shared" si="2"/>
        <v>46294</v>
      </c>
      <c r="F42" s="26">
        <f t="shared" si="1"/>
        <v>46296</v>
      </c>
    </row>
    <row r="43" spans="2:6" x14ac:dyDescent="0.35">
      <c r="B43" s="11" t="s">
        <v>138</v>
      </c>
      <c r="C43" s="10">
        <f>COUNTIF(Tracker!$B$4:$B$153,B43)</f>
        <v>12</v>
      </c>
      <c r="D43" s="10">
        <f t="shared" si="0"/>
        <v>6</v>
      </c>
      <c r="E43" s="26">
        <f t="shared" si="2"/>
        <v>46297</v>
      </c>
      <c r="F43" s="26">
        <f t="shared" si="1"/>
        <v>46302</v>
      </c>
    </row>
    <row r="44" spans="2:6" x14ac:dyDescent="0.35">
      <c r="B44" s="11" t="s">
        <v>151</v>
      </c>
      <c r="C44" s="10">
        <f>COUNTIF(Tracker!$B$4:$B$153,B44)</f>
        <v>11</v>
      </c>
      <c r="D44" s="10">
        <f t="shared" si="0"/>
        <v>6</v>
      </c>
      <c r="E44" s="26">
        <f t="shared" si="2"/>
        <v>46303</v>
      </c>
      <c r="F44" s="26">
        <f t="shared" si="1"/>
        <v>46308</v>
      </c>
    </row>
    <row r="45" spans="2:6" x14ac:dyDescent="0.35">
      <c r="B45" s="11" t="s">
        <v>163</v>
      </c>
      <c r="C45" s="10">
        <f>COUNTIF(Tracker!$B$4:$B$153,B45)</f>
        <v>8</v>
      </c>
      <c r="D45" s="10">
        <f t="shared" si="0"/>
        <v>4</v>
      </c>
      <c r="E45" s="26">
        <f t="shared" si="2"/>
        <v>46309</v>
      </c>
      <c r="F45" s="26">
        <f t="shared" si="1"/>
        <v>46312</v>
      </c>
    </row>
    <row r="46" spans="2:6" x14ac:dyDescent="0.35">
      <c r="B46" s="11" t="s">
        <v>172</v>
      </c>
      <c r="C46" s="10">
        <f>COUNTIF(Tracker!$B$4:$B$153,B46)</f>
        <v>6</v>
      </c>
      <c r="D46" s="10">
        <f t="shared" si="0"/>
        <v>3</v>
      </c>
      <c r="E46" s="26">
        <f t="shared" si="2"/>
        <v>46313</v>
      </c>
      <c r="F46" s="26">
        <f t="shared" si="1"/>
        <v>46315</v>
      </c>
    </row>
    <row r="47" spans="2:6" x14ac:dyDescent="0.35">
      <c r="B47" s="11" t="s">
        <v>179</v>
      </c>
      <c r="C47" s="10">
        <f>COUNTIF(Tracker!$B$4:$B$153,B47)</f>
        <v>8</v>
      </c>
      <c r="D47" s="10">
        <f t="shared" si="0"/>
        <v>4</v>
      </c>
      <c r="E47" s="26">
        <f t="shared" si="2"/>
        <v>46316</v>
      </c>
      <c r="F47" s="26">
        <f t="shared" si="1"/>
        <v>46319</v>
      </c>
    </row>
    <row r="48" spans="2:6" x14ac:dyDescent="0.35">
      <c r="B48" s="11" t="s">
        <v>188</v>
      </c>
      <c r="C48" s="10">
        <f>COUNTIF(Tracker!$B$4:$B$153,B48)</f>
        <v>7</v>
      </c>
      <c r="D48" s="10">
        <f t="shared" si="0"/>
        <v>4</v>
      </c>
      <c r="E48" s="26">
        <f t="shared" si="2"/>
        <v>46320</v>
      </c>
      <c r="F48" s="26">
        <f t="shared" si="1"/>
        <v>46323</v>
      </c>
    </row>
    <row r="49" spans="2:8" ht="28" x14ac:dyDescent="0.35">
      <c r="B49" s="20" t="s">
        <v>229</v>
      </c>
      <c r="C49" s="21">
        <f>SUM(C31:C48)</f>
        <v>150</v>
      </c>
      <c r="D49" s="21">
        <f>SUM(D31:D48)</f>
        <v>80</v>
      </c>
      <c r="E49" s="27" t="str">
        <f>C28</f>
        <v>2026-08-10</v>
      </c>
      <c r="F49" s="27">
        <f>F48</f>
        <v>46323</v>
      </c>
    </row>
    <row r="51" spans="2:8" ht="22.4" customHeight="1" x14ac:dyDescent="0.35">
      <c r="B51" s="4" t="s">
        <v>230</v>
      </c>
      <c r="C51" s="4"/>
      <c r="D51" s="4"/>
      <c r="E51" s="4"/>
      <c r="F51" s="4"/>
      <c r="G51" s="4"/>
      <c r="H51" s="4"/>
    </row>
    <row r="53" spans="2:8" ht="27.75" customHeight="1" x14ac:dyDescent="0.35">
      <c r="B53" s="9" t="s">
        <v>231</v>
      </c>
      <c r="C53" s="9" t="s">
        <v>232</v>
      </c>
      <c r="D53" s="9" t="s">
        <v>233</v>
      </c>
      <c r="E53" s="9" t="s">
        <v>227</v>
      </c>
      <c r="F53" s="9" t="s">
        <v>228</v>
      </c>
    </row>
    <row r="54" spans="2:8" ht="45" customHeight="1" x14ac:dyDescent="0.35">
      <c r="B54" s="11" t="s">
        <v>234</v>
      </c>
      <c r="C54" s="28" t="s">
        <v>235</v>
      </c>
      <c r="D54" s="10">
        <v>21</v>
      </c>
      <c r="E54" s="26">
        <f>F49+1</f>
        <v>46324</v>
      </c>
      <c r="F54" s="26">
        <f>E54+D54-1</f>
        <v>46344</v>
      </c>
    </row>
    <row r="55" spans="2:8" ht="45" customHeight="1" x14ac:dyDescent="0.35">
      <c r="B55" s="11" t="s">
        <v>236</v>
      </c>
      <c r="C55" s="28" t="s">
        <v>237</v>
      </c>
      <c r="D55" s="10">
        <v>14</v>
      </c>
      <c r="E55" s="26">
        <f>F54+1</f>
        <v>46345</v>
      </c>
      <c r="F55" s="26">
        <f>E55+D55-1</f>
        <v>46358</v>
      </c>
    </row>
    <row r="57" spans="2:8" ht="21.75" customHeight="1" x14ac:dyDescent="0.35">
      <c r="B57" s="3" t="s">
        <v>238</v>
      </c>
      <c r="C57" s="3"/>
      <c r="D57" s="3"/>
      <c r="E57" s="3"/>
      <c r="F57" s="29" t="str">
        <f>CONCATENATE(TEXT(F55-C28+1,"0")," days  (~",TEXT((F55-C28+1)/7,"0.0")," weeks)")</f>
        <v>115 days  (~16.4 weeks)</v>
      </c>
    </row>
    <row r="59" spans="2:8" x14ac:dyDescent="0.35">
      <c r="B59" s="2" t="s">
        <v>239</v>
      </c>
      <c r="C59" s="2"/>
      <c r="D59" s="2"/>
      <c r="E59" s="2"/>
      <c r="F59" s="2"/>
      <c r="G59" s="2"/>
      <c r="H59" s="2"/>
    </row>
    <row r="60" spans="2:8" ht="15.5" x14ac:dyDescent="0.35">
      <c r="B60" s="1">
        <f>F55</f>
        <v>46358</v>
      </c>
      <c r="C60" s="1"/>
      <c r="D60" s="1"/>
      <c r="E60" s="1"/>
      <c r="F60" s="1"/>
      <c r="G60" s="1"/>
      <c r="H60" s="1"/>
    </row>
  </sheetData>
  <mergeCells count="24">
    <mergeCell ref="B51:H51"/>
    <mergeCell ref="B57:E57"/>
    <mergeCell ref="B59:H59"/>
    <mergeCell ref="B60:H60"/>
    <mergeCell ref="B20:H20"/>
    <mergeCell ref="B21:H21"/>
    <mergeCell ref="B22:H22"/>
    <mergeCell ref="A24:H24"/>
    <mergeCell ref="B26:H26"/>
    <mergeCell ref="B13:H13"/>
    <mergeCell ref="A15:H15"/>
    <mergeCell ref="B17:H17"/>
    <mergeCell ref="B18:H18"/>
    <mergeCell ref="B19:H19"/>
    <mergeCell ref="B8:H8"/>
    <mergeCell ref="B9:H9"/>
    <mergeCell ref="B10:H10"/>
    <mergeCell ref="B11:H11"/>
    <mergeCell ref="B12:H12"/>
    <mergeCell ref="A1:H1"/>
    <mergeCell ref="A3:H3"/>
    <mergeCell ref="B5:H5"/>
    <mergeCell ref="B6:H6"/>
    <mergeCell ref="B7:H7"/>
  </mergeCells>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Tracker</vt:lpstr>
      <vt:lpstr>Dashboard</vt:lpstr>
      <vt:lpstr>Method &amp; 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Priti Kumari</cp:lastModifiedBy>
  <cp:revision>0</cp:revision>
  <dcterms:created xsi:type="dcterms:W3CDTF">2026-08-07T05:27:59Z</dcterms:created>
  <dcterms:modified xsi:type="dcterms:W3CDTF">2026-08-07T08:53:10Z</dcterms:modified>
  <dc:language>en-US</dc:language>
</cp:coreProperties>
</file>